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РЕЙТИНГ ИТОГ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<sst xmlns="http://schemas.openxmlformats.org/spreadsheetml/2006/main" uniqueCount="96">
  <si>
    <t>1а</t>
  </si>
  <si>
    <t>1б</t>
  </si>
  <si>
    <t>1в</t>
  </si>
  <si>
    <t>1г</t>
  </si>
  <si>
    <t>2а</t>
  </si>
  <si>
    <t>2б</t>
  </si>
  <si>
    <t>2в</t>
  </si>
  <si>
    <t>2г</t>
  </si>
  <si>
    <t>3а</t>
  </si>
  <si>
    <t>3б</t>
  </si>
  <si>
    <t>3в</t>
  </si>
  <si>
    <t>3г</t>
  </si>
  <si>
    <t>3д</t>
  </si>
  <si>
    <t>4а</t>
  </si>
  <si>
    <t>4б</t>
  </si>
  <si>
    <t>4в</t>
  </si>
  <si>
    <t>4г</t>
  </si>
  <si>
    <t>5.1</t>
  </si>
  <si>
    <t>5.2</t>
  </si>
  <si>
    <t>5.3</t>
  </si>
  <si>
    <t>5.4</t>
  </si>
  <si>
    <t>5.5</t>
  </si>
  <si>
    <t>6.1</t>
  </si>
  <si>
    <t>6.2</t>
  </si>
  <si>
    <t>6.3</t>
  </si>
  <si>
    <t>6.4</t>
  </si>
  <si>
    <t>6.5</t>
  </si>
  <si>
    <t>7.1</t>
  </si>
  <si>
    <t>7.2</t>
  </si>
  <si>
    <t>7.3</t>
  </si>
  <si>
    <t>7.4</t>
  </si>
  <si>
    <t>8.1</t>
  </si>
  <si>
    <t>8.2</t>
  </si>
  <si>
    <t>8.3</t>
  </si>
  <si>
    <t>8.4</t>
  </si>
  <si>
    <t>9а</t>
  </si>
  <si>
    <t>9б</t>
  </si>
  <si>
    <t>9в</t>
  </si>
  <si>
    <t>9г</t>
  </si>
  <si>
    <t>10а</t>
  </si>
  <si>
    <t>10б</t>
  </si>
  <si>
    <t>11а</t>
  </si>
  <si>
    <t>11б</t>
  </si>
  <si>
    <t>баллы</t>
  </si>
  <si>
    <t>Городской конкурс            "Дорога и дети"</t>
  </si>
  <si>
    <t>для конкурса рисунков, писем для солдат, открыток</t>
  </si>
  <si>
    <t>менее 50% класса</t>
  </si>
  <si>
    <t xml:space="preserve">Городской конкурс в мире игрушки </t>
  </si>
  <si>
    <t>муниципальный этап областного конкурса "Кушай на здоровье"</t>
  </si>
  <si>
    <t>районный конкурс "Суперпапа"</t>
  </si>
  <si>
    <t>областной конкурс "Эколята за раздельный сбор мусора"</t>
  </si>
  <si>
    <t>областной конкурс         "Брянский край навек любимый"</t>
  </si>
  <si>
    <t>Всероссийский конкурс "Безопасная дорога - детям"</t>
  </si>
  <si>
    <t>более 50% класса</t>
  </si>
  <si>
    <t>городской конкурс              "Мой удивительный край"</t>
  </si>
  <si>
    <t>соревнования, квесты, макулатура, крышечки</t>
  </si>
  <si>
    <t>участие</t>
  </si>
  <si>
    <t>районный конкурс   "Геометрия города Б"</t>
  </si>
  <si>
    <t>1 место</t>
  </si>
  <si>
    <t>Мероприятия с классом</t>
  </si>
  <si>
    <t>2 место</t>
  </si>
  <si>
    <t>школьная акция                   "Подари книгу другу"</t>
  </si>
  <si>
    <t>3 место</t>
  </si>
  <si>
    <t>День учителя</t>
  </si>
  <si>
    <t>БИТВА ХОРОВ</t>
  </si>
  <si>
    <t>Дельфийские игры</t>
  </si>
  <si>
    <t>2 тур</t>
  </si>
  <si>
    <t>"Неделя первых"</t>
  </si>
  <si>
    <t>3 тур</t>
  </si>
  <si>
    <t>День отца: "Мастер-класс от папы", "Папа в тренде"</t>
  </si>
  <si>
    <t>спортивное мероприятие "Папа может!"</t>
  </si>
  <si>
    <t>итого за I четверть</t>
  </si>
  <si>
    <t>КОМАНДНЫЕ</t>
  </si>
  <si>
    <t>ШКОЛЬНЫЕ КОНКУРСЫ</t>
  </si>
  <si>
    <t>0,1 за каждого</t>
  </si>
  <si>
    <t>итого</t>
  </si>
  <si>
    <t>РАЙОННЫЕ КОНКУРСЫ</t>
  </si>
  <si>
    <t>0,2 за каждого</t>
  </si>
  <si>
    <t>ГОРОДСКИЕ КОНКУРСЫ</t>
  </si>
  <si>
    <t>0,3 за каждого</t>
  </si>
  <si>
    <t>итого за неделю                        19-23 сентября</t>
  </si>
  <si>
    <t>ОБЛАСТНЫЕ КОНКУРСЫ</t>
  </si>
  <si>
    <t>0,4 за каждого</t>
  </si>
  <si>
    <t>ВСЕРОССИЙСКИЕ КОНКУРСЫ</t>
  </si>
  <si>
    <t>0,5 за каждого</t>
  </si>
  <si>
    <t>КЛАССНЫЕ ВСТРЕЧИ (отцы, СВО, ветераны и т.п.)</t>
  </si>
  <si>
    <t>3б.</t>
  </si>
  <si>
    <t>УЧАСТИЕ КЛАССА В АКЦИЯХ</t>
  </si>
  <si>
    <t>1б.</t>
  </si>
  <si>
    <t>МЕРОПРИЯТИЯ С КЛАССОМ</t>
  </si>
  <si>
    <t>в школе</t>
  </si>
  <si>
    <t>2б.</t>
  </si>
  <si>
    <t>Итого за период                    26 сентября - 14 октября</t>
  </si>
  <si>
    <t>в городе</t>
  </si>
  <si>
    <t>поездка</t>
  </si>
  <si>
    <t>5б.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</si>
</sst>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12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24"/>
      <color indexed="8"/>
      <name val="Albertus MT Lt"/>
    </font>
    <font>
      <sz val="22"/>
      <color indexed="8"/>
      <name val="Times New Roman"/>
    </font>
    <font>
      <sz val="20"/>
      <color indexed="8"/>
      <name val="Times New Roman"/>
    </font>
    <font>
      <sz val="18"/>
      <color indexed="8"/>
      <name val="Times New Roman"/>
    </font>
    <font>
      <b val="1"/>
      <sz val="20"/>
      <color indexed="8"/>
      <name val="Times New Roman"/>
    </font>
    <font>
      <b val="1"/>
      <sz val="28"/>
      <color indexed="8"/>
      <name val="Times New Roman"/>
    </font>
    <font>
      <sz val="26"/>
      <color indexed="8"/>
      <name val="Times New Roman"/>
    </font>
    <font>
      <b val="1"/>
      <sz val="26"/>
      <color indexed="8"/>
      <name val="Times New Roman"/>
    </font>
    <font>
      <b val="1"/>
      <sz val="22"/>
      <color indexed="8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3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49" fontId="3" fillId="3" borderId="2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center" vertical="center"/>
    </xf>
    <xf numFmtId="49" fontId="3" fillId="4" borderId="2" applyNumberFormat="1" applyFont="1" applyFill="1" applyBorder="1" applyAlignment="1" applyProtection="0">
      <alignment horizontal="center" vertical="center"/>
    </xf>
    <xf numFmtId="49" fontId="3" fillId="4" borderId="3" applyNumberFormat="1" applyFont="1" applyFill="1" applyBorder="1" applyAlignment="1" applyProtection="0">
      <alignment horizontal="center" vertical="center"/>
    </xf>
    <xf numFmtId="49" fontId="3" fillId="4" borderId="4" applyNumberFormat="1" applyFont="1" applyFill="1" applyBorder="1" applyAlignment="1" applyProtection="0">
      <alignment horizontal="center" vertical="center"/>
    </xf>
    <xf numFmtId="49" fontId="3" fillId="5" borderId="2" applyNumberFormat="1" applyFont="1" applyFill="1" applyBorder="1" applyAlignment="1" applyProtection="0">
      <alignment horizontal="center" vertical="center"/>
    </xf>
    <xf numFmtId="49" fontId="3" fillId="5" borderId="3" applyNumberFormat="1" applyFont="1" applyFill="1" applyBorder="1" applyAlignment="1" applyProtection="0">
      <alignment horizontal="center" vertical="center"/>
    </xf>
    <xf numFmtId="49" fontId="3" fillId="5" borderId="4" applyNumberFormat="1" applyFont="1" applyFill="1" applyBorder="1" applyAlignment="1" applyProtection="0">
      <alignment horizontal="center" vertical="center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4" fillId="6" borderId="8" applyNumberFormat="0" applyFont="1" applyFill="1" applyBorder="1" applyAlignment="1" applyProtection="0">
      <alignment horizontal="center" vertical="center" wrapText="1"/>
    </xf>
    <xf numFmtId="49" fontId="4" fillId="6" borderId="9" applyNumberFormat="1" applyFont="1" applyFill="1" applyBorder="1" applyAlignment="1" applyProtection="0">
      <alignment horizontal="center" vertical="center" wrapText="1"/>
    </xf>
    <xf numFmtId="49" fontId="4" fillId="7" borderId="10" applyNumberFormat="1" applyFont="1" applyFill="1" applyBorder="1" applyAlignment="1" applyProtection="0">
      <alignment horizontal="center" vertical="center" wrapText="1"/>
    </xf>
    <xf numFmtId="0" fontId="5" fillId="3" borderId="5" applyNumberFormat="0" applyFont="1" applyFill="1" applyBorder="1" applyAlignment="1" applyProtection="0">
      <alignment horizontal="center" vertical="center"/>
    </xf>
    <xf numFmtId="0" fontId="5" fillId="3" borderId="6" applyNumberFormat="0" applyFont="1" applyFill="1" applyBorder="1" applyAlignment="1" applyProtection="0">
      <alignment horizontal="center" vertical="center"/>
    </xf>
    <xf numFmtId="59" fontId="5" fillId="3" borderId="6" applyNumberFormat="1" applyFont="1" applyFill="1" applyBorder="1" applyAlignment="1" applyProtection="0">
      <alignment horizontal="center" vertical="center"/>
    </xf>
    <xf numFmtId="0" fontId="5" fillId="3" borderId="7" applyNumberFormat="1" applyFont="1" applyFill="1" applyBorder="1" applyAlignment="1" applyProtection="0">
      <alignment horizontal="center" vertical="center"/>
    </xf>
    <xf numFmtId="0" fontId="5" fillId="3" borderId="6" applyNumberFormat="1" applyFont="1" applyFill="1" applyBorder="1" applyAlignment="1" applyProtection="0">
      <alignment horizontal="center" vertical="center"/>
    </xf>
    <xf numFmtId="0" fontId="5" fillId="3" borderId="7" applyNumberFormat="0" applyFont="1" applyFill="1" applyBorder="1" applyAlignment="1" applyProtection="0">
      <alignment horizontal="center" vertical="center"/>
    </xf>
    <xf numFmtId="0" fontId="5" fillId="4" borderId="5" applyNumberFormat="0" applyFont="1" applyFill="1" applyBorder="1" applyAlignment="1" applyProtection="0">
      <alignment horizontal="center" vertical="center"/>
    </xf>
    <xf numFmtId="0" fontId="5" fillId="4" borderId="6" applyNumberFormat="0" applyFont="1" applyFill="1" applyBorder="1" applyAlignment="1" applyProtection="0">
      <alignment horizontal="center" vertical="center"/>
    </xf>
    <xf numFmtId="0" fontId="5" fillId="4" borderId="7" applyNumberFormat="0" applyFont="1" applyFill="1" applyBorder="1" applyAlignment="1" applyProtection="0">
      <alignment horizontal="center" vertical="center"/>
    </xf>
    <xf numFmtId="0" fontId="5" fillId="4" borderId="5" applyNumberFormat="1" applyFont="1" applyFill="1" applyBorder="1" applyAlignment="1" applyProtection="0">
      <alignment horizontal="center" vertical="center"/>
    </xf>
    <xf numFmtId="0" fontId="5" fillId="5" borderId="5" applyNumberFormat="0" applyFont="1" applyFill="1" applyBorder="1" applyAlignment="1" applyProtection="0">
      <alignment horizontal="center" vertical="center"/>
    </xf>
    <xf numFmtId="0" fontId="5" fillId="5" borderId="6" applyNumberFormat="0" applyFont="1" applyFill="1" applyBorder="1" applyAlignment="1" applyProtection="0">
      <alignment horizontal="center" vertical="center"/>
    </xf>
    <xf numFmtId="0" fontId="5" fillId="5" borderId="7" applyNumberFormat="0" applyFont="1" applyFill="1" applyBorder="1" applyAlignment="1" applyProtection="0">
      <alignment horizontal="center" vertical="center"/>
    </xf>
    <xf numFmtId="49" fontId="4" fillId="6" borderId="2" applyNumberFormat="1" applyFont="1" applyFill="1" applyBorder="1" applyAlignment="1" applyProtection="0">
      <alignment horizontal="center" vertical="center" wrapText="1"/>
    </xf>
    <xf numFmtId="49" fontId="4" fillId="6" borderId="3" applyNumberFormat="1" applyFont="1" applyFill="1" applyBorder="1" applyAlignment="1" applyProtection="0">
      <alignment horizontal="center" vertical="center" wrapText="1"/>
    </xf>
    <xf numFmtId="0" fontId="4" fillId="6" borderId="4" applyNumberFormat="1" applyFont="1" applyFill="1" applyBorder="1" applyAlignment="1" applyProtection="0">
      <alignment horizontal="center" vertical="center" wrapText="1"/>
    </xf>
    <xf numFmtId="49" fontId="4" fillId="7" borderId="5" applyNumberFormat="1" applyFont="1" applyFill="1" applyBorder="1" applyAlignment="1" applyProtection="0">
      <alignment horizontal="center" vertical="center" wrapText="1"/>
    </xf>
    <xf numFmtId="0" fontId="5" fillId="3" borderId="5" applyNumberFormat="1" applyFont="1" applyFill="1" applyBorder="1" applyAlignment="1" applyProtection="0">
      <alignment horizontal="center" vertical="center"/>
    </xf>
    <xf numFmtId="0" fontId="5" fillId="4" borderId="6" applyNumberFormat="1" applyFont="1" applyFill="1" applyBorder="1" applyAlignment="1" applyProtection="0">
      <alignment horizontal="center" vertical="center"/>
    </xf>
    <xf numFmtId="0" fontId="4" fillId="6" borderId="11" applyNumberFormat="0" applyFont="1" applyFill="1" applyBorder="1" applyAlignment="1" applyProtection="0">
      <alignment horizontal="center" vertical="center" wrapText="1"/>
    </xf>
    <xf numFmtId="0" fontId="4" fillId="6" borderId="12" applyNumberFormat="0" applyFont="1" applyFill="1" applyBorder="1" applyAlignment="1" applyProtection="0">
      <alignment horizontal="center" vertical="center" wrapText="1"/>
    </xf>
    <xf numFmtId="0" fontId="4" fillId="6" borderId="13" applyNumberFormat="0" applyFont="1" applyFill="1" applyBorder="1" applyAlignment="1" applyProtection="0">
      <alignment horizontal="center" vertical="center" wrapText="1"/>
    </xf>
    <xf numFmtId="49" fontId="6" fillId="7" borderId="5" applyNumberFormat="1" applyFont="1" applyFill="1" applyBorder="1" applyAlignment="1" applyProtection="0">
      <alignment horizontal="center" vertical="center" wrapText="1"/>
    </xf>
    <xf numFmtId="0" fontId="5" fillId="4" borderId="7" applyNumberFormat="1" applyFont="1" applyFill="1" applyBorder="1" applyAlignment="1" applyProtection="0">
      <alignment horizontal="center" vertical="center"/>
    </xf>
    <xf numFmtId="0" fontId="4" fillId="6" borderId="14" applyNumberFormat="0" applyFont="1" applyFill="1" applyBorder="1" applyAlignment="1" applyProtection="0">
      <alignment horizontal="center" vertical="center" wrapText="1"/>
    </xf>
    <xf numFmtId="0" fontId="4" fillId="6" borderId="15" applyNumberFormat="0" applyFont="1" applyFill="1" applyBorder="1" applyAlignment="1" applyProtection="0">
      <alignment horizontal="center" vertical="center" wrapText="1"/>
    </xf>
    <xf numFmtId="0" fontId="4" fillId="6" borderId="16" applyNumberFormat="0" applyFont="1" applyFill="1" applyBorder="1" applyAlignment="1" applyProtection="0">
      <alignment horizontal="center" vertical="center" wrapText="1"/>
    </xf>
    <xf numFmtId="0" fontId="4" fillId="6" borderId="17" applyNumberFormat="0" applyFont="1" applyFill="1" applyBorder="1" applyAlignment="1" applyProtection="0">
      <alignment horizontal="center" vertical="center" wrapText="1"/>
    </xf>
    <xf numFmtId="0" fontId="4" fillId="6" borderId="18" applyNumberFormat="0" applyFont="1" applyFill="1" applyBorder="1" applyAlignment="1" applyProtection="0">
      <alignment horizontal="center" vertical="center" wrapText="1"/>
    </xf>
    <xf numFmtId="0" fontId="4" fillId="6" borderId="19" applyNumberFormat="0" applyFont="1" applyFill="1" applyBorder="1" applyAlignment="1" applyProtection="0">
      <alignment horizontal="center" vertical="center" wrapText="1"/>
    </xf>
    <xf numFmtId="0" fontId="4" fillId="6" borderId="20" applyNumberFormat="0" applyFont="1" applyFill="1" applyBorder="1" applyAlignment="1" applyProtection="0">
      <alignment horizontal="center" vertical="center" wrapText="1"/>
    </xf>
    <xf numFmtId="49" fontId="4" fillId="6" borderId="21" applyNumberFormat="1" applyFont="1" applyFill="1" applyBorder="1" applyAlignment="1" applyProtection="0">
      <alignment horizontal="center" vertical="center" wrapText="1"/>
    </xf>
    <xf numFmtId="0" fontId="4" fillId="6" borderId="22" applyNumberFormat="1" applyFont="1" applyFill="1" applyBorder="1" applyAlignment="1" applyProtection="0">
      <alignment horizontal="center" vertical="center" wrapText="1"/>
    </xf>
    <xf numFmtId="0" fontId="5" fillId="5" borderId="5" applyNumberFormat="1" applyFont="1" applyFill="1" applyBorder="1" applyAlignment="1" applyProtection="0">
      <alignment horizontal="center" vertical="center"/>
    </xf>
    <xf numFmtId="0" fontId="4" fillId="6" borderId="5" applyNumberFormat="0" applyFont="1" applyFill="1" applyBorder="1" applyAlignment="1" applyProtection="0">
      <alignment horizontal="center" vertical="center" wrapText="1"/>
    </xf>
    <xf numFmtId="49" fontId="4" fillId="6" borderId="6" applyNumberFormat="1" applyFont="1" applyFill="1" applyBorder="1" applyAlignment="1" applyProtection="0">
      <alignment horizontal="center" vertical="center" wrapText="1"/>
    </xf>
    <xf numFmtId="0" fontId="4" fillId="6" borderId="7" applyNumberFormat="1" applyFont="1" applyFill="1" applyBorder="1" applyAlignment="1" applyProtection="0">
      <alignment horizontal="center" vertical="center" wrapText="1"/>
    </xf>
    <xf numFmtId="0" fontId="5" fillId="5" borderId="7" applyNumberFormat="1" applyFont="1" applyFill="1" applyBorder="1" applyAlignment="1" applyProtection="0">
      <alignment horizontal="center" vertical="center"/>
    </xf>
    <xf numFmtId="0" fontId="7" fillId="3" borderId="6" applyNumberFormat="0" applyFont="1" applyFill="1" applyBorder="1" applyAlignment="1" applyProtection="0">
      <alignment horizontal="center" vertical="center"/>
    </xf>
    <xf numFmtId="0" fontId="7" fillId="4" borderId="6" applyNumberFormat="0" applyFont="1" applyFill="1" applyBorder="1" applyAlignment="1" applyProtection="0">
      <alignment horizontal="center" vertical="center"/>
    </xf>
    <xf numFmtId="0" fontId="7" fillId="5" borderId="7" applyNumberFormat="0" applyFont="1" applyFill="1" applyBorder="1" applyAlignment="1" applyProtection="0">
      <alignment horizontal="center" vertical="center"/>
    </xf>
    <xf numFmtId="0" fontId="5" fillId="5" borderId="6" applyNumberFormat="1" applyFont="1" applyFill="1" applyBorder="1" applyAlignment="1" applyProtection="0">
      <alignment horizontal="center" vertical="center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49" fontId="8" fillId="7" borderId="23" applyNumberFormat="1" applyFont="1" applyFill="1" applyBorder="1" applyAlignment="1" applyProtection="0">
      <alignment horizontal="center" vertical="center" wrapText="1"/>
    </xf>
    <xf numFmtId="59" fontId="7" fillId="7" borderId="20" applyNumberFormat="1" applyFont="1" applyFill="1" applyBorder="1" applyAlignment="1" applyProtection="0">
      <alignment horizontal="center" vertical="center"/>
    </xf>
    <xf numFmtId="59" fontId="7" fillId="7" borderId="21" applyNumberFormat="1" applyFont="1" applyFill="1" applyBorder="1" applyAlignment="1" applyProtection="0">
      <alignment horizontal="center" vertical="center"/>
    </xf>
    <xf numFmtId="59" fontId="7" fillId="7" borderId="22" applyNumberFormat="1" applyFont="1" applyFill="1" applyBorder="1" applyAlignment="1" applyProtection="0">
      <alignment horizontal="center" vertical="center"/>
    </xf>
    <xf numFmtId="49" fontId="4" fillId="6" borderId="24" applyNumberFormat="1" applyFont="1" applyFill="1" applyBorder="1" applyAlignment="1" applyProtection="0">
      <alignment horizontal="center" vertical="center" wrapText="1"/>
    </xf>
    <xf numFmtId="0" fontId="4" fillId="6" borderId="25" applyNumberFormat="0" applyFont="1" applyFill="1" applyBorder="1" applyAlignment="1" applyProtection="0">
      <alignment horizontal="center" vertical="center" wrapText="1"/>
    </xf>
    <xf numFmtId="0" fontId="4" fillId="6" borderId="26" applyNumberFormat="0" applyFont="1" applyFill="1" applyBorder="1" applyAlignment="1" applyProtection="0">
      <alignment horizontal="center" vertical="center" wrapText="1"/>
    </xf>
    <xf numFmtId="0" fontId="4" fillId="2" borderId="27" applyNumberFormat="0" applyFont="1" applyFill="1" applyBorder="1" applyAlignment="1" applyProtection="0">
      <alignment vertical="center" wrapText="1"/>
    </xf>
    <xf numFmtId="0" fontId="4" fillId="2" borderId="28" applyNumberFormat="0" applyFont="1" applyFill="1" applyBorder="1" applyAlignment="1" applyProtection="0">
      <alignment vertical="center" wrapText="1"/>
    </xf>
    <xf numFmtId="0" fontId="4" fillId="8" borderId="2" applyNumberFormat="0" applyFont="1" applyFill="1" applyBorder="1" applyAlignment="1" applyProtection="0">
      <alignment horizontal="center" vertical="center" wrapText="1"/>
    </xf>
    <xf numFmtId="0" fontId="9" fillId="3" borderId="3" applyNumberFormat="0" applyFont="1" applyFill="1" applyBorder="1" applyAlignment="1" applyProtection="0">
      <alignment horizontal="center" vertical="center"/>
    </xf>
    <xf numFmtId="0" fontId="9" fillId="4" borderId="3" applyNumberFormat="0" applyFont="1" applyFill="1" applyBorder="1" applyAlignment="1" applyProtection="0">
      <alignment horizontal="center" vertical="center"/>
    </xf>
    <xf numFmtId="0" fontId="9" fillId="5" borderId="3" applyNumberFormat="0" applyFont="1" applyFill="1" applyBorder="1" applyAlignment="1" applyProtection="0">
      <alignment horizontal="center" vertical="center"/>
    </xf>
    <xf numFmtId="0" fontId="9" fillId="5" borderId="4" applyNumberFormat="0" applyFont="1" applyFill="1" applyBorder="1" applyAlignment="1" applyProtection="0">
      <alignment horizontal="center" vertical="center"/>
    </xf>
    <xf numFmtId="49" fontId="4" fillId="6" borderId="4" applyNumberFormat="1" applyFont="1" applyFill="1" applyBorder="1" applyAlignment="1" applyProtection="0">
      <alignment horizontal="center" vertical="center" wrapText="1"/>
    </xf>
    <xf numFmtId="0" fontId="4" fillId="8" borderId="5" applyNumberFormat="0" applyFont="1" applyFill="1" applyBorder="1" applyAlignment="1" applyProtection="0">
      <alignment horizontal="center" vertical="center" wrapText="1"/>
    </xf>
    <xf numFmtId="0" fontId="9" fillId="3" borderId="6" applyNumberFormat="0" applyFont="1" applyFill="1" applyBorder="1" applyAlignment="1" applyProtection="0">
      <alignment horizontal="center" vertical="center"/>
    </xf>
    <xf numFmtId="0" fontId="9" fillId="4" borderId="6" applyNumberFormat="0" applyFont="1" applyFill="1" applyBorder="1" applyAlignment="1" applyProtection="0">
      <alignment horizontal="center" vertical="center"/>
    </xf>
    <xf numFmtId="0" fontId="9" fillId="5" borderId="6" applyNumberFormat="0" applyFont="1" applyFill="1" applyBorder="1" applyAlignment="1" applyProtection="0">
      <alignment horizontal="center" vertical="center"/>
    </xf>
    <xf numFmtId="0" fontId="9" fillId="5" borderId="7" applyNumberFormat="0" applyFont="1" applyFill="1" applyBorder="1" applyAlignment="1" applyProtection="0">
      <alignment horizontal="center" vertical="center"/>
    </xf>
    <xf numFmtId="0" fontId="4" fillId="8" borderId="20" applyNumberFormat="0" applyFont="1" applyFill="1" applyBorder="1" applyAlignment="1" applyProtection="0">
      <alignment horizontal="center" vertical="center" wrapText="1"/>
    </xf>
    <xf numFmtId="0" fontId="10" fillId="8" borderId="21" applyNumberFormat="1" applyFont="1" applyFill="1" applyBorder="1" applyAlignment="1" applyProtection="0">
      <alignment horizontal="center" vertical="center"/>
    </xf>
    <xf numFmtId="0" fontId="10" fillId="8" borderId="22" applyNumberFormat="1" applyFont="1" applyFill="1" applyBorder="1" applyAlignment="1" applyProtection="0">
      <alignment horizontal="center" vertical="center"/>
    </xf>
    <xf numFmtId="0" fontId="4" fillId="9" borderId="2" applyNumberFormat="0" applyFont="1" applyFill="1" applyBorder="1" applyAlignment="1" applyProtection="0">
      <alignment horizontal="center" vertical="center" wrapText="1"/>
    </xf>
    <xf numFmtId="49" fontId="11" fillId="9" borderId="20" applyNumberFormat="1" applyFont="1" applyFill="1" applyBorder="1" applyAlignment="1" applyProtection="0">
      <alignment horizontal="center" vertical="center" wrapText="1"/>
    </xf>
    <xf numFmtId="0" fontId="10" fillId="9" borderId="21" applyNumberFormat="1" applyFont="1" applyFill="1" applyBorder="1" applyAlignment="1" applyProtection="0">
      <alignment horizontal="center" vertical="center"/>
    </xf>
    <xf numFmtId="0" fontId="10" fillId="9" borderId="6" applyNumberFormat="1" applyFont="1" applyFill="1" applyBorder="1" applyAlignment="1" applyProtection="0">
      <alignment horizontal="center" vertical="center"/>
    </xf>
    <xf numFmtId="0" fontId="4" fillId="10" borderId="3" applyNumberFormat="0" applyFont="1" applyFill="1" applyBorder="1" applyAlignment="1" applyProtection="0">
      <alignment horizontal="center" vertical="center" wrapText="1"/>
    </xf>
    <xf numFmtId="0" fontId="4" fillId="10" borderId="6" applyNumberFormat="0" applyFont="1" applyFill="1" applyBorder="1" applyAlignment="1" applyProtection="0">
      <alignment horizontal="center" vertical="center" wrapText="1"/>
    </xf>
    <xf numFmtId="49" fontId="11" fillId="10" borderId="6" applyNumberFormat="1" applyFont="1" applyFill="1" applyBorder="1" applyAlignment="1" applyProtection="0">
      <alignment horizontal="center" vertical="center" wrapText="1"/>
    </xf>
    <xf numFmtId="0" fontId="11" fillId="10" borderId="6" applyNumberFormat="1" applyFont="1" applyFill="1" applyBorder="1" applyAlignment="1" applyProtection="0">
      <alignment horizontal="center" vertical="center" wrapText="1"/>
    </xf>
    <xf numFmtId="0" fontId="4" fillId="7" borderId="6" applyNumberFormat="0" applyFont="1" applyFill="1" applyBorder="1" applyAlignment="1" applyProtection="0">
      <alignment horizontal="center" vertical="center" wrapText="1"/>
    </xf>
    <xf numFmtId="0" fontId="4" fillId="6" borderId="29" applyNumberFormat="0" applyFont="1" applyFill="1" applyBorder="1" applyAlignment="1" applyProtection="0">
      <alignment horizontal="center" vertical="center" wrapText="1"/>
    </xf>
    <xf numFmtId="49" fontId="4" fillId="6" borderId="30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11" fillId="7" borderId="6" applyNumberFormat="1" applyFont="1" applyFill="1" applyBorder="1" applyAlignment="1" applyProtection="0">
      <alignment horizontal="center" vertical="center" wrapText="1"/>
    </xf>
    <xf numFmtId="0" fontId="11" fillId="7" borderId="6" applyNumberFormat="1" applyFont="1" applyFill="1" applyBorder="1" applyAlignment="1" applyProtection="0">
      <alignment horizontal="center" vertical="center" wrapText="1"/>
    </xf>
    <xf numFmtId="49" fontId="4" fillId="6" borderId="7" applyNumberFormat="1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vertical="bottom" wrapText="1"/>
    </xf>
    <xf numFmtId="49" fontId="4" fillId="6" borderId="22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ccff33"/>
      <rgbColor rgb="ffffff00"/>
      <rgbColor rgb="ff66ccff"/>
      <rgbColor rgb="ffffcc00"/>
      <rgbColor rgb="ffff99cc"/>
      <rgbColor rgb="ffffc000"/>
      <rgbColor rgb="fffbe4d5"/>
      <rgbColor rgb="ffff7c8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F42"/>
  <sheetViews>
    <sheetView workbookViewId="0" showGridLines="0" defaultGridColor="1"/>
  </sheetViews>
  <sheetFormatPr defaultColWidth="8.83333" defaultRowHeight="45" customHeight="1" outlineLevelRow="0" outlineLevelCol="0"/>
  <cols>
    <col min="1" max="1" width="56.5" style="1" customWidth="1"/>
    <col min="2" max="44" width="10.6719" style="1" customWidth="1"/>
    <col min="45" max="47" width="9.17188" style="1" customWidth="1"/>
    <col min="48" max="48" width="57" style="1" customWidth="1"/>
    <col min="49" max="49" width="24" style="1" customWidth="1"/>
    <col min="50" max="50" width="20.8516" style="1" customWidth="1"/>
    <col min="51" max="51" width="58.6719" style="1" customWidth="1"/>
    <col min="52" max="52" width="22.8516" style="1" customWidth="1"/>
    <col min="53" max="53" width="20.3516" style="1" customWidth="1"/>
    <col min="54" max="84" width="9.17188" style="1" customWidth="1"/>
    <col min="85" max="16384" width="8.85156" style="1" customWidth="1"/>
  </cols>
  <sheetData>
    <row r="1" ht="50.1" customHeight="1">
      <c r="A1" s="2"/>
      <c r="B1" t="s" s="3">
        <v>0</v>
      </c>
      <c r="C1" t="s" s="4">
        <v>1</v>
      </c>
      <c r="D1" t="s" s="4">
        <v>2</v>
      </c>
      <c r="E1" t="s" s="5">
        <v>3</v>
      </c>
      <c r="F1" t="s" s="3">
        <v>4</v>
      </c>
      <c r="G1" t="s" s="4">
        <v>5</v>
      </c>
      <c r="H1" t="s" s="4">
        <v>6</v>
      </c>
      <c r="I1" t="s" s="5">
        <v>7</v>
      </c>
      <c r="J1" t="s" s="3">
        <v>8</v>
      </c>
      <c r="K1" t="s" s="4">
        <v>9</v>
      </c>
      <c r="L1" t="s" s="4">
        <v>10</v>
      </c>
      <c r="M1" t="s" s="4">
        <v>11</v>
      </c>
      <c r="N1" t="s" s="5">
        <v>12</v>
      </c>
      <c r="O1" t="s" s="3">
        <v>13</v>
      </c>
      <c r="P1" t="s" s="4">
        <v>14</v>
      </c>
      <c r="Q1" t="s" s="4">
        <v>15</v>
      </c>
      <c r="R1" t="s" s="5">
        <v>16</v>
      </c>
      <c r="S1" t="s" s="6">
        <v>17</v>
      </c>
      <c r="T1" t="s" s="7">
        <v>18</v>
      </c>
      <c r="U1" t="s" s="7">
        <v>19</v>
      </c>
      <c r="V1" t="s" s="7">
        <v>20</v>
      </c>
      <c r="W1" t="s" s="8">
        <v>21</v>
      </c>
      <c r="X1" t="s" s="6">
        <v>22</v>
      </c>
      <c r="Y1" t="s" s="7">
        <v>23</v>
      </c>
      <c r="Z1" t="s" s="7">
        <v>24</v>
      </c>
      <c r="AA1" t="s" s="7">
        <v>25</v>
      </c>
      <c r="AB1" t="s" s="8">
        <v>26</v>
      </c>
      <c r="AC1" t="s" s="6">
        <v>27</v>
      </c>
      <c r="AD1" t="s" s="7">
        <v>28</v>
      </c>
      <c r="AE1" t="s" s="7">
        <v>29</v>
      </c>
      <c r="AF1" t="s" s="8">
        <v>30</v>
      </c>
      <c r="AG1" t="s" s="6">
        <v>31</v>
      </c>
      <c r="AH1" t="s" s="7">
        <v>32</v>
      </c>
      <c r="AI1" t="s" s="7">
        <v>33</v>
      </c>
      <c r="AJ1" t="s" s="8">
        <v>34</v>
      </c>
      <c r="AK1" t="s" s="9">
        <v>35</v>
      </c>
      <c r="AL1" t="s" s="10">
        <v>36</v>
      </c>
      <c r="AM1" t="s" s="10">
        <v>37</v>
      </c>
      <c r="AN1" t="s" s="11">
        <v>38</v>
      </c>
      <c r="AO1" t="s" s="9">
        <v>39</v>
      </c>
      <c r="AP1" t="s" s="11">
        <v>40</v>
      </c>
      <c r="AQ1" t="s" s="9">
        <v>41</v>
      </c>
      <c r="AR1" t="s" s="11">
        <v>42</v>
      </c>
      <c r="AS1" s="12"/>
      <c r="AT1" s="13"/>
      <c r="AU1" s="14"/>
      <c r="AV1" s="15"/>
      <c r="AW1" s="15"/>
      <c r="AX1" t="s" s="16">
        <v>43</v>
      </c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</row>
    <row r="2" ht="66.75" customHeight="1">
      <c r="A2" t="s" s="17">
        <v>44</v>
      </c>
      <c r="B2" s="18"/>
      <c r="C2" s="19"/>
      <c r="D2" s="20"/>
      <c r="E2" s="21">
        <v>0.6</v>
      </c>
      <c r="F2" s="18"/>
      <c r="G2" s="19"/>
      <c r="H2" s="22">
        <v>0.3</v>
      </c>
      <c r="I2" s="21">
        <v>0.6</v>
      </c>
      <c r="J2" s="18"/>
      <c r="K2" s="19"/>
      <c r="L2" s="22">
        <v>0.6</v>
      </c>
      <c r="M2" s="19"/>
      <c r="N2" s="23"/>
      <c r="O2" s="18"/>
      <c r="P2" s="19"/>
      <c r="Q2" s="19"/>
      <c r="R2" s="21">
        <v>0.3</v>
      </c>
      <c r="S2" s="24"/>
      <c r="T2" s="25"/>
      <c r="U2" s="25"/>
      <c r="V2" s="25"/>
      <c r="W2" s="26"/>
      <c r="X2" s="27">
        <v>0.3</v>
      </c>
      <c r="Y2" s="25"/>
      <c r="Z2" s="25"/>
      <c r="AA2" s="25"/>
      <c r="AB2" s="26"/>
      <c r="AC2" s="24"/>
      <c r="AD2" s="25"/>
      <c r="AE2" s="25"/>
      <c r="AF2" s="26"/>
      <c r="AG2" s="24"/>
      <c r="AH2" s="25"/>
      <c r="AI2" s="25"/>
      <c r="AJ2" s="26"/>
      <c r="AK2" s="28"/>
      <c r="AL2" s="29"/>
      <c r="AM2" s="29"/>
      <c r="AN2" s="30"/>
      <c r="AO2" s="28"/>
      <c r="AP2" s="30"/>
      <c r="AQ2" s="28"/>
      <c r="AR2" s="30"/>
      <c r="AS2" s="12"/>
      <c r="AT2" s="13"/>
      <c r="AU2" s="14"/>
      <c r="AV2" t="s" s="31">
        <v>45</v>
      </c>
      <c r="AW2" t="s" s="32">
        <v>46</v>
      </c>
      <c r="AX2" s="33">
        <v>1</v>
      </c>
      <c r="AY2" s="12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</row>
    <row r="3" ht="66.75" customHeight="1">
      <c r="A3" t="s" s="34">
        <v>47</v>
      </c>
      <c r="B3" s="19"/>
      <c r="C3" s="19"/>
      <c r="D3" s="20"/>
      <c r="E3" s="23"/>
      <c r="F3" s="35">
        <v>0.3</v>
      </c>
      <c r="G3" s="19"/>
      <c r="H3" s="22">
        <v>0.6</v>
      </c>
      <c r="I3" s="21">
        <v>0.3</v>
      </c>
      <c r="J3" s="18"/>
      <c r="K3" s="22">
        <v>0.6</v>
      </c>
      <c r="L3" s="22">
        <v>2.1</v>
      </c>
      <c r="M3" s="22">
        <v>1.5</v>
      </c>
      <c r="N3" s="23"/>
      <c r="O3" s="18"/>
      <c r="P3" s="19"/>
      <c r="Q3" s="22">
        <v>0.3</v>
      </c>
      <c r="R3" s="23"/>
      <c r="S3" s="27">
        <v>0.3</v>
      </c>
      <c r="T3" s="36">
        <v>0.3</v>
      </c>
      <c r="U3" s="25"/>
      <c r="V3" s="25"/>
      <c r="W3" s="26"/>
      <c r="X3" s="24"/>
      <c r="Y3" s="25"/>
      <c r="Z3" s="25"/>
      <c r="AA3" s="25"/>
      <c r="AB3" s="26"/>
      <c r="AC3" s="24"/>
      <c r="AD3" s="25"/>
      <c r="AE3" s="25"/>
      <c r="AF3" s="26"/>
      <c r="AG3" s="24"/>
      <c r="AH3" s="25"/>
      <c r="AI3" s="25"/>
      <c r="AJ3" s="26"/>
      <c r="AK3" s="28"/>
      <c r="AL3" s="29"/>
      <c r="AM3" s="29"/>
      <c r="AN3" s="30"/>
      <c r="AO3" s="28"/>
      <c r="AP3" s="30"/>
      <c r="AQ3" s="28"/>
      <c r="AR3" s="30"/>
      <c r="AS3" s="12"/>
      <c r="AT3" s="13"/>
      <c r="AU3" s="14"/>
      <c r="AV3" s="37"/>
      <c r="AW3" s="38"/>
      <c r="AX3" s="39"/>
      <c r="AY3" s="12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</row>
    <row r="4" ht="66.75" customHeight="1">
      <c r="A4" t="s" s="40">
        <v>48</v>
      </c>
      <c r="B4" s="19"/>
      <c r="C4" s="19"/>
      <c r="D4" s="20"/>
      <c r="E4" s="21">
        <v>0.6</v>
      </c>
      <c r="F4" s="18"/>
      <c r="G4" s="19"/>
      <c r="H4" s="22">
        <v>0.3</v>
      </c>
      <c r="I4" s="21">
        <v>0.6</v>
      </c>
      <c r="J4" s="18"/>
      <c r="K4" s="19"/>
      <c r="L4" s="22">
        <v>0.3</v>
      </c>
      <c r="M4" s="19"/>
      <c r="N4" s="21">
        <v>0.3</v>
      </c>
      <c r="O4" s="18"/>
      <c r="P4" s="19"/>
      <c r="Q4" s="19"/>
      <c r="R4" s="23"/>
      <c r="S4" s="24"/>
      <c r="T4" s="36">
        <v>0.3</v>
      </c>
      <c r="U4" s="25"/>
      <c r="V4" s="25"/>
      <c r="W4" s="41">
        <v>0.3</v>
      </c>
      <c r="X4" s="24"/>
      <c r="Y4" s="25"/>
      <c r="Z4" s="25"/>
      <c r="AA4" s="25"/>
      <c r="AB4" s="26"/>
      <c r="AC4" s="24"/>
      <c r="AD4" s="25"/>
      <c r="AE4" s="25"/>
      <c r="AF4" s="26"/>
      <c r="AG4" s="24"/>
      <c r="AH4" s="25"/>
      <c r="AI4" s="25"/>
      <c r="AJ4" s="26"/>
      <c r="AK4" s="28"/>
      <c r="AL4" s="29"/>
      <c r="AM4" s="29"/>
      <c r="AN4" s="30"/>
      <c r="AO4" s="28"/>
      <c r="AP4" s="30"/>
      <c r="AQ4" s="28"/>
      <c r="AR4" s="30"/>
      <c r="AS4" s="12"/>
      <c r="AT4" s="13"/>
      <c r="AU4" s="14"/>
      <c r="AV4" s="42"/>
      <c r="AW4" s="43"/>
      <c r="AX4" s="44"/>
      <c r="AY4" s="12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</row>
    <row r="5" ht="66.75" customHeight="1">
      <c r="A5" t="s" s="17">
        <v>49</v>
      </c>
      <c r="B5" s="18"/>
      <c r="C5" s="19"/>
      <c r="D5" s="20"/>
      <c r="E5" s="21">
        <v>0.2</v>
      </c>
      <c r="F5" s="18"/>
      <c r="G5" s="19"/>
      <c r="H5" s="19"/>
      <c r="I5" s="21">
        <v>2.2</v>
      </c>
      <c r="J5" s="18"/>
      <c r="K5" s="22">
        <v>0.4</v>
      </c>
      <c r="L5" s="22">
        <v>0.8</v>
      </c>
      <c r="M5" s="19"/>
      <c r="N5" s="23"/>
      <c r="O5" s="18"/>
      <c r="P5" s="19"/>
      <c r="Q5" s="19"/>
      <c r="R5" s="23"/>
      <c r="S5" s="24"/>
      <c r="T5" s="25"/>
      <c r="U5" s="25"/>
      <c r="V5" s="25"/>
      <c r="W5" s="26"/>
      <c r="X5" s="24"/>
      <c r="Y5" s="25"/>
      <c r="Z5" s="25"/>
      <c r="AA5" s="25"/>
      <c r="AB5" s="26"/>
      <c r="AC5" s="24"/>
      <c r="AD5" s="25"/>
      <c r="AE5" s="25"/>
      <c r="AF5" s="26"/>
      <c r="AG5" s="24"/>
      <c r="AH5" s="25"/>
      <c r="AI5" s="25"/>
      <c r="AJ5" s="26"/>
      <c r="AK5" s="28"/>
      <c r="AL5" s="29"/>
      <c r="AM5" s="29"/>
      <c r="AN5" s="30"/>
      <c r="AO5" s="28"/>
      <c r="AP5" s="30"/>
      <c r="AQ5" s="28"/>
      <c r="AR5" s="30"/>
      <c r="AS5" s="12"/>
      <c r="AT5" s="13"/>
      <c r="AU5" s="14"/>
      <c r="AV5" s="42"/>
      <c r="AW5" s="43"/>
      <c r="AX5" s="44"/>
      <c r="AY5" s="12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</row>
    <row r="6" ht="66.75" customHeight="1">
      <c r="A6" t="s" s="17">
        <v>50</v>
      </c>
      <c r="B6" s="35">
        <v>0.4</v>
      </c>
      <c r="C6" s="19"/>
      <c r="D6" s="20"/>
      <c r="E6" s="23"/>
      <c r="F6" s="18"/>
      <c r="G6" s="19"/>
      <c r="H6" s="22">
        <v>0.4</v>
      </c>
      <c r="I6" s="23"/>
      <c r="J6" s="18"/>
      <c r="K6" s="19"/>
      <c r="L6" s="19"/>
      <c r="M6" s="19"/>
      <c r="N6" s="23"/>
      <c r="O6" s="18"/>
      <c r="P6" s="19"/>
      <c r="Q6" s="19"/>
      <c r="R6" s="23"/>
      <c r="S6" s="24"/>
      <c r="T6" s="25"/>
      <c r="U6" s="25"/>
      <c r="V6" s="25"/>
      <c r="W6" s="26"/>
      <c r="X6" s="24"/>
      <c r="Y6" s="25"/>
      <c r="Z6" s="25"/>
      <c r="AA6" s="25"/>
      <c r="AB6" s="26"/>
      <c r="AC6" s="24"/>
      <c r="AD6" s="25"/>
      <c r="AE6" s="25"/>
      <c r="AF6" s="26"/>
      <c r="AG6" s="24"/>
      <c r="AH6" s="25"/>
      <c r="AI6" s="25"/>
      <c r="AJ6" s="26"/>
      <c r="AK6" s="28"/>
      <c r="AL6" s="29"/>
      <c r="AM6" s="29"/>
      <c r="AN6" s="30"/>
      <c r="AO6" s="28"/>
      <c r="AP6" s="30"/>
      <c r="AQ6" s="28"/>
      <c r="AR6" s="30"/>
      <c r="AS6" s="12"/>
      <c r="AT6" s="13"/>
      <c r="AU6" s="14"/>
      <c r="AV6" s="42"/>
      <c r="AW6" s="43"/>
      <c r="AX6" s="44"/>
      <c r="AY6" s="12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</row>
    <row r="7" ht="80.25" customHeight="1">
      <c r="A7" t="s" s="34">
        <v>51</v>
      </c>
      <c r="B7" s="19"/>
      <c r="C7" s="19"/>
      <c r="D7" s="20"/>
      <c r="E7" s="23"/>
      <c r="F7" s="18"/>
      <c r="G7" s="19"/>
      <c r="H7" s="19"/>
      <c r="I7" s="23"/>
      <c r="J7" s="18"/>
      <c r="K7" s="19"/>
      <c r="L7" s="19"/>
      <c r="M7" s="19"/>
      <c r="N7" s="23"/>
      <c r="O7" s="18"/>
      <c r="P7" s="19"/>
      <c r="Q7" s="19"/>
      <c r="R7" s="23"/>
      <c r="S7" s="24"/>
      <c r="T7" s="25"/>
      <c r="U7" s="25"/>
      <c r="V7" s="25"/>
      <c r="W7" s="26"/>
      <c r="X7" s="24"/>
      <c r="Y7" s="25"/>
      <c r="Z7" s="25"/>
      <c r="AA7" s="25"/>
      <c r="AB7" s="26"/>
      <c r="AC7" s="24"/>
      <c r="AD7" s="25"/>
      <c r="AE7" s="25"/>
      <c r="AF7" s="26"/>
      <c r="AG7" s="24"/>
      <c r="AH7" s="25"/>
      <c r="AI7" s="25"/>
      <c r="AJ7" s="26"/>
      <c r="AK7" s="28"/>
      <c r="AL7" s="29"/>
      <c r="AM7" s="29"/>
      <c r="AN7" s="30"/>
      <c r="AO7" s="28"/>
      <c r="AP7" s="30"/>
      <c r="AQ7" s="28"/>
      <c r="AR7" s="30"/>
      <c r="AS7" s="12"/>
      <c r="AT7" s="13"/>
      <c r="AU7" s="14"/>
      <c r="AV7" s="45"/>
      <c r="AW7" s="46"/>
      <c r="AX7" s="47"/>
      <c r="AY7" s="12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</row>
    <row r="8" ht="75" customHeight="1">
      <c r="A8" t="s" s="17">
        <v>52</v>
      </c>
      <c r="B8" s="18"/>
      <c r="C8" s="19"/>
      <c r="D8" s="20"/>
      <c r="E8" s="23"/>
      <c r="F8" s="18"/>
      <c r="G8" s="19"/>
      <c r="H8" s="19"/>
      <c r="I8" s="21">
        <v>0.5</v>
      </c>
      <c r="J8" s="18"/>
      <c r="K8" s="19"/>
      <c r="L8" s="19"/>
      <c r="M8" s="19"/>
      <c r="N8" s="23"/>
      <c r="O8" s="18"/>
      <c r="P8" s="19"/>
      <c r="Q8" s="19"/>
      <c r="R8" s="23"/>
      <c r="S8" s="27">
        <v>0.5</v>
      </c>
      <c r="T8" s="36">
        <v>1</v>
      </c>
      <c r="U8" s="25"/>
      <c r="V8" s="25"/>
      <c r="W8" s="26"/>
      <c r="X8" s="24"/>
      <c r="Y8" s="25"/>
      <c r="Z8" s="25"/>
      <c r="AA8" s="36">
        <v>0.5</v>
      </c>
      <c r="AB8" s="26"/>
      <c r="AC8" s="24"/>
      <c r="AD8" s="25"/>
      <c r="AE8" s="25"/>
      <c r="AF8" s="26"/>
      <c r="AG8" s="24"/>
      <c r="AH8" s="25"/>
      <c r="AI8" s="25"/>
      <c r="AJ8" s="26"/>
      <c r="AK8" s="28"/>
      <c r="AL8" s="29"/>
      <c r="AM8" s="29"/>
      <c r="AN8" s="30"/>
      <c r="AO8" s="28"/>
      <c r="AP8" s="30"/>
      <c r="AQ8" s="28"/>
      <c r="AR8" s="30"/>
      <c r="AS8" s="12"/>
      <c r="AT8" s="13"/>
      <c r="AU8" s="14"/>
      <c r="AV8" s="48"/>
      <c r="AW8" t="s" s="49">
        <v>53</v>
      </c>
      <c r="AX8" s="50">
        <v>2</v>
      </c>
      <c r="AY8" s="12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</row>
    <row r="9" ht="75" customHeight="1">
      <c r="A9" t="s" s="17">
        <v>54</v>
      </c>
      <c r="B9" s="18"/>
      <c r="C9" s="19"/>
      <c r="D9" s="20">
        <v>5.6</v>
      </c>
      <c r="E9" s="23"/>
      <c r="F9" s="18"/>
      <c r="G9" s="19"/>
      <c r="H9" s="22">
        <v>4.3</v>
      </c>
      <c r="I9" s="21">
        <v>9.9</v>
      </c>
      <c r="J9" s="18"/>
      <c r="K9" s="22">
        <v>4.6</v>
      </c>
      <c r="L9" s="22">
        <v>0.3</v>
      </c>
      <c r="M9" s="22">
        <v>5.3</v>
      </c>
      <c r="N9" s="23"/>
      <c r="O9" s="18"/>
      <c r="P9" s="19"/>
      <c r="Q9" s="19"/>
      <c r="R9" s="23"/>
      <c r="S9" s="27">
        <v>0.3</v>
      </c>
      <c r="T9" s="36">
        <v>3.9</v>
      </c>
      <c r="U9" s="25"/>
      <c r="V9" s="36">
        <v>8.6</v>
      </c>
      <c r="W9" s="41">
        <v>0.3</v>
      </c>
      <c r="X9" s="24"/>
      <c r="Y9" s="36">
        <v>0.3</v>
      </c>
      <c r="Z9" s="25"/>
      <c r="AA9" s="25"/>
      <c r="AB9" s="26"/>
      <c r="AC9" s="24"/>
      <c r="AD9" s="36">
        <v>0.3</v>
      </c>
      <c r="AE9" s="25"/>
      <c r="AF9" s="41">
        <v>0.3</v>
      </c>
      <c r="AG9" s="24"/>
      <c r="AH9" s="25"/>
      <c r="AI9" s="25"/>
      <c r="AJ9" s="26"/>
      <c r="AK9" s="28"/>
      <c r="AL9" s="29"/>
      <c r="AM9" s="29"/>
      <c r="AN9" s="30"/>
      <c r="AO9" s="28"/>
      <c r="AP9" s="30"/>
      <c r="AQ9" s="51">
        <v>3.3</v>
      </c>
      <c r="AR9" s="30"/>
      <c r="AS9" s="12"/>
      <c r="AT9" s="13"/>
      <c r="AU9" s="14"/>
      <c r="AV9" t="s" s="31">
        <v>55</v>
      </c>
      <c r="AW9" t="s" s="32">
        <v>56</v>
      </c>
      <c r="AX9" s="33">
        <v>1</v>
      </c>
      <c r="AY9" s="12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</row>
    <row r="10" ht="75" customHeight="1">
      <c r="A10" t="s" s="17">
        <v>57</v>
      </c>
      <c r="B10" s="18"/>
      <c r="C10" s="19"/>
      <c r="D10" s="20"/>
      <c r="E10" s="23"/>
      <c r="F10" s="18"/>
      <c r="G10" s="19"/>
      <c r="H10" s="19"/>
      <c r="I10" s="23"/>
      <c r="J10" s="18"/>
      <c r="K10" s="19"/>
      <c r="L10" s="19"/>
      <c r="M10" s="19"/>
      <c r="N10" s="23"/>
      <c r="O10" s="18"/>
      <c r="P10" s="19"/>
      <c r="Q10" s="19"/>
      <c r="R10" s="23"/>
      <c r="S10" s="24"/>
      <c r="T10" s="25"/>
      <c r="U10" s="25"/>
      <c r="V10" s="25"/>
      <c r="W10" s="26"/>
      <c r="X10" s="24"/>
      <c r="Y10" s="25"/>
      <c r="Z10" s="25"/>
      <c r="AA10" s="25"/>
      <c r="AB10" s="26"/>
      <c r="AC10" s="24"/>
      <c r="AD10" s="25"/>
      <c r="AE10" s="25"/>
      <c r="AF10" s="26"/>
      <c r="AG10" s="24"/>
      <c r="AH10" s="25"/>
      <c r="AI10" s="25"/>
      <c r="AJ10" s="26"/>
      <c r="AK10" s="28"/>
      <c r="AL10" s="29"/>
      <c r="AM10" s="29"/>
      <c r="AN10" s="30"/>
      <c r="AO10" s="28"/>
      <c r="AP10" s="30"/>
      <c r="AQ10" s="28"/>
      <c r="AR10" s="30"/>
      <c r="AS10" s="12"/>
      <c r="AT10" s="13"/>
      <c r="AU10" s="14"/>
      <c r="AV10" s="52"/>
      <c r="AW10" t="s" s="53">
        <v>58</v>
      </c>
      <c r="AX10" s="54">
        <v>4</v>
      </c>
      <c r="AY10" s="12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</row>
    <row r="11" ht="75" customHeight="1">
      <c r="A11" t="s" s="17">
        <v>59</v>
      </c>
      <c r="B11" s="18"/>
      <c r="C11" s="22">
        <v>2</v>
      </c>
      <c r="D11" s="20"/>
      <c r="E11" s="23"/>
      <c r="F11" s="35">
        <v>3</v>
      </c>
      <c r="G11" s="22">
        <v>3</v>
      </c>
      <c r="H11" s="22">
        <v>10</v>
      </c>
      <c r="I11" s="21">
        <v>10</v>
      </c>
      <c r="J11" s="18"/>
      <c r="K11" s="22">
        <v>5</v>
      </c>
      <c r="L11" s="19"/>
      <c r="M11" s="19"/>
      <c r="N11" s="23"/>
      <c r="O11" s="35">
        <v>3</v>
      </c>
      <c r="P11" s="19"/>
      <c r="Q11" s="19"/>
      <c r="R11" s="23"/>
      <c r="S11" s="24"/>
      <c r="T11" s="36">
        <v>3</v>
      </c>
      <c r="U11" s="25"/>
      <c r="V11" s="25"/>
      <c r="W11" s="26"/>
      <c r="X11" s="27">
        <v>8</v>
      </c>
      <c r="Y11" s="36">
        <v>3</v>
      </c>
      <c r="Z11" s="25"/>
      <c r="AA11" s="36">
        <v>5</v>
      </c>
      <c r="AB11" s="26"/>
      <c r="AC11" s="27">
        <v>8</v>
      </c>
      <c r="AD11" s="36">
        <v>8</v>
      </c>
      <c r="AE11" s="36">
        <v>3</v>
      </c>
      <c r="AF11" s="41">
        <v>3</v>
      </c>
      <c r="AG11" s="27">
        <v>6</v>
      </c>
      <c r="AH11" s="36">
        <v>3</v>
      </c>
      <c r="AI11" s="36">
        <v>6</v>
      </c>
      <c r="AJ11" s="41">
        <v>5</v>
      </c>
      <c r="AK11" s="28"/>
      <c r="AL11" s="29"/>
      <c r="AM11" s="29"/>
      <c r="AN11" s="55">
        <v>5</v>
      </c>
      <c r="AO11" s="28"/>
      <c r="AP11" s="30"/>
      <c r="AQ11" s="28"/>
      <c r="AR11" s="30"/>
      <c r="AS11" s="12"/>
      <c r="AT11" s="13"/>
      <c r="AU11" s="14"/>
      <c r="AV11" s="52"/>
      <c r="AW11" t="s" s="53">
        <v>60</v>
      </c>
      <c r="AX11" s="54">
        <v>3</v>
      </c>
      <c r="AY11" s="12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</row>
    <row r="12" ht="87" customHeight="1">
      <c r="A12" t="s" s="17">
        <v>61</v>
      </c>
      <c r="B12" s="18"/>
      <c r="C12" s="19"/>
      <c r="D12" s="20"/>
      <c r="E12" s="23"/>
      <c r="F12" s="18"/>
      <c r="G12" s="19"/>
      <c r="H12" s="19"/>
      <c r="I12" s="23"/>
      <c r="J12" s="35">
        <v>1</v>
      </c>
      <c r="K12" s="19"/>
      <c r="L12" s="19"/>
      <c r="M12" s="19"/>
      <c r="N12" s="21">
        <v>1</v>
      </c>
      <c r="O12" s="18"/>
      <c r="P12" s="19"/>
      <c r="Q12" s="19"/>
      <c r="R12" s="23"/>
      <c r="S12" s="24"/>
      <c r="T12" s="25"/>
      <c r="U12" s="25"/>
      <c r="V12" s="25"/>
      <c r="W12" s="26"/>
      <c r="X12" s="24"/>
      <c r="Y12" s="36">
        <v>1</v>
      </c>
      <c r="Z12" s="25"/>
      <c r="AA12" s="25"/>
      <c r="AB12" s="26"/>
      <c r="AC12" s="24"/>
      <c r="AD12" s="25"/>
      <c r="AE12" s="25"/>
      <c r="AF12" s="26"/>
      <c r="AG12" s="24"/>
      <c r="AH12" s="25"/>
      <c r="AI12" s="25"/>
      <c r="AJ12" s="26"/>
      <c r="AK12" s="28"/>
      <c r="AL12" s="29"/>
      <c r="AM12" s="29"/>
      <c r="AN12" s="30"/>
      <c r="AO12" s="28"/>
      <c r="AP12" s="30"/>
      <c r="AQ12" s="28"/>
      <c r="AR12" s="30"/>
      <c r="AS12" s="12"/>
      <c r="AT12" s="13"/>
      <c r="AU12" s="14"/>
      <c r="AV12" s="48"/>
      <c r="AW12" t="s" s="49">
        <v>62</v>
      </c>
      <c r="AX12" s="50">
        <v>2</v>
      </c>
      <c r="AY12" s="12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</row>
    <row r="13" ht="87" customHeight="1">
      <c r="A13" t="s" s="17">
        <v>63</v>
      </c>
      <c r="B13" s="35">
        <v>0</v>
      </c>
      <c r="C13" s="22">
        <v>0</v>
      </c>
      <c r="D13" s="20">
        <v>13.2</v>
      </c>
      <c r="E13" s="22">
        <v>5.3</v>
      </c>
      <c r="F13" s="22">
        <v>3.2</v>
      </c>
      <c r="G13" s="22">
        <v>5.2</v>
      </c>
      <c r="H13" s="22">
        <v>2.4</v>
      </c>
      <c r="I13" s="21">
        <v>2.3</v>
      </c>
      <c r="J13" s="18"/>
      <c r="K13" s="22">
        <v>3.4</v>
      </c>
      <c r="L13" s="56"/>
      <c r="M13" s="22">
        <v>11.3</v>
      </c>
      <c r="N13" s="21">
        <v>0.2</v>
      </c>
      <c r="O13" s="18"/>
      <c r="P13" s="19"/>
      <c r="Q13" s="22">
        <v>2.6</v>
      </c>
      <c r="R13" s="23"/>
      <c r="S13" s="27">
        <v>1.1</v>
      </c>
      <c r="T13" s="25"/>
      <c r="U13" s="57"/>
      <c r="V13" s="36">
        <v>0.1</v>
      </c>
      <c r="W13" s="41">
        <v>0.2</v>
      </c>
      <c r="X13" s="27">
        <v>3</v>
      </c>
      <c r="Y13" s="36">
        <v>2</v>
      </c>
      <c r="Z13" s="36">
        <v>2</v>
      </c>
      <c r="AA13" s="36">
        <v>3</v>
      </c>
      <c r="AB13" s="41">
        <v>4</v>
      </c>
      <c r="AC13" s="24"/>
      <c r="AD13" s="36">
        <v>4</v>
      </c>
      <c r="AE13" s="36">
        <v>2</v>
      </c>
      <c r="AF13" s="41">
        <v>3</v>
      </c>
      <c r="AG13" s="27">
        <v>4</v>
      </c>
      <c r="AH13" s="36">
        <v>3</v>
      </c>
      <c r="AI13" s="25"/>
      <c r="AJ13" s="41">
        <v>4</v>
      </c>
      <c r="AK13" s="28"/>
      <c r="AL13" s="29"/>
      <c r="AM13" s="29"/>
      <c r="AN13" s="55">
        <v>1</v>
      </c>
      <c r="AO13" s="28"/>
      <c r="AP13" s="55">
        <v>1</v>
      </c>
      <c r="AQ13" s="51">
        <v>1</v>
      </c>
      <c r="AR13" s="58"/>
      <c r="AS13" s="12"/>
      <c r="AT13" s="13"/>
      <c r="AU13" s="14"/>
      <c r="AV13" t="s" s="31">
        <v>64</v>
      </c>
      <c r="AW13" t="s" s="32">
        <v>56</v>
      </c>
      <c r="AX13" s="33">
        <v>1</v>
      </c>
      <c r="AY13" s="12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</row>
    <row r="14" ht="87" customHeight="1">
      <c r="A14" t="s" s="17">
        <v>65</v>
      </c>
      <c r="B14" s="18"/>
      <c r="C14" s="19"/>
      <c r="D14" s="20"/>
      <c r="E14" s="23"/>
      <c r="F14" s="18"/>
      <c r="G14" s="19"/>
      <c r="H14" s="19"/>
      <c r="I14" s="23"/>
      <c r="J14" s="18"/>
      <c r="K14" s="19"/>
      <c r="L14" s="19"/>
      <c r="M14" s="19"/>
      <c r="N14" s="23"/>
      <c r="O14" s="18"/>
      <c r="P14" s="19"/>
      <c r="Q14" s="19"/>
      <c r="R14" s="23"/>
      <c r="S14" s="24"/>
      <c r="T14" s="25"/>
      <c r="U14" s="25"/>
      <c r="V14" s="25"/>
      <c r="W14" s="26"/>
      <c r="X14" s="24"/>
      <c r="Y14" s="25"/>
      <c r="Z14" s="25"/>
      <c r="AA14" s="25"/>
      <c r="AB14" s="26"/>
      <c r="AC14" s="24"/>
      <c r="AD14" s="25"/>
      <c r="AE14" s="25"/>
      <c r="AF14" s="26"/>
      <c r="AG14" s="24"/>
      <c r="AH14" s="25"/>
      <c r="AI14" s="25"/>
      <c r="AJ14" s="26"/>
      <c r="AK14" s="28"/>
      <c r="AL14" s="29"/>
      <c r="AM14" s="29"/>
      <c r="AN14" s="30"/>
      <c r="AO14" s="28"/>
      <c r="AP14" s="30"/>
      <c r="AQ14" s="28"/>
      <c r="AR14" s="30"/>
      <c r="AS14" s="12"/>
      <c r="AT14" s="13"/>
      <c r="AU14" s="14"/>
      <c r="AV14" s="52"/>
      <c r="AW14" t="s" s="53">
        <v>66</v>
      </c>
      <c r="AX14" s="54">
        <v>2</v>
      </c>
      <c r="AY14" s="12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</row>
    <row r="15" ht="87" customHeight="1">
      <c r="A15" t="s" s="17">
        <v>67</v>
      </c>
      <c r="B15" s="18"/>
      <c r="C15" s="19"/>
      <c r="D15" s="20"/>
      <c r="E15" s="23"/>
      <c r="F15" s="35">
        <v>2</v>
      </c>
      <c r="G15" s="22">
        <v>1</v>
      </c>
      <c r="H15" s="22">
        <v>3</v>
      </c>
      <c r="I15" s="21">
        <v>1</v>
      </c>
      <c r="J15" s="18"/>
      <c r="K15" s="19"/>
      <c r="L15" s="19"/>
      <c r="M15" s="19"/>
      <c r="N15" s="23"/>
      <c r="O15" s="35">
        <v>4</v>
      </c>
      <c r="P15" s="22">
        <v>1</v>
      </c>
      <c r="Q15" s="22">
        <v>1</v>
      </c>
      <c r="R15" s="21">
        <v>1</v>
      </c>
      <c r="S15" s="27">
        <v>4</v>
      </c>
      <c r="T15" s="36">
        <v>1</v>
      </c>
      <c r="U15" s="36">
        <v>1</v>
      </c>
      <c r="V15" s="36">
        <v>1</v>
      </c>
      <c r="W15" s="26"/>
      <c r="X15" s="27">
        <v>4</v>
      </c>
      <c r="Y15" s="36">
        <v>2</v>
      </c>
      <c r="Z15" s="36">
        <v>1</v>
      </c>
      <c r="AA15" s="36">
        <v>1</v>
      </c>
      <c r="AB15" s="41">
        <v>3</v>
      </c>
      <c r="AC15" s="27">
        <v>1</v>
      </c>
      <c r="AD15" s="36">
        <v>2</v>
      </c>
      <c r="AE15" s="36">
        <v>3</v>
      </c>
      <c r="AF15" s="41">
        <v>1</v>
      </c>
      <c r="AG15" s="27">
        <v>4</v>
      </c>
      <c r="AH15" s="36">
        <v>1</v>
      </c>
      <c r="AI15" s="36">
        <v>1</v>
      </c>
      <c r="AJ15" s="41">
        <v>1</v>
      </c>
      <c r="AK15" s="51">
        <v>1</v>
      </c>
      <c r="AL15" s="59">
        <v>1</v>
      </c>
      <c r="AM15" s="59">
        <v>1</v>
      </c>
      <c r="AN15" s="55">
        <v>3</v>
      </c>
      <c r="AO15" s="51">
        <v>1</v>
      </c>
      <c r="AP15" s="55">
        <v>4</v>
      </c>
      <c r="AQ15" s="51">
        <v>2</v>
      </c>
      <c r="AR15" s="55">
        <v>1</v>
      </c>
      <c r="AS15" s="12"/>
      <c r="AT15" s="13"/>
      <c r="AU15" s="14"/>
      <c r="AV15" s="52"/>
      <c r="AW15" t="s" s="53">
        <v>68</v>
      </c>
      <c r="AX15" s="54">
        <v>3</v>
      </c>
      <c r="AY15" s="12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</row>
    <row r="16" ht="75" customHeight="1">
      <c r="A16" t="s" s="17">
        <v>69</v>
      </c>
      <c r="B16" s="35">
        <v>3</v>
      </c>
      <c r="C16" s="22">
        <v>3</v>
      </c>
      <c r="D16" s="20"/>
      <c r="E16" s="23"/>
      <c r="F16" s="18"/>
      <c r="G16" s="19"/>
      <c r="H16" s="22">
        <v>3</v>
      </c>
      <c r="I16" s="21">
        <v>1</v>
      </c>
      <c r="J16" s="18"/>
      <c r="K16" s="22">
        <v>1</v>
      </c>
      <c r="L16" s="22">
        <v>3</v>
      </c>
      <c r="M16" s="19"/>
      <c r="N16" s="23"/>
      <c r="O16" s="18"/>
      <c r="P16" s="19"/>
      <c r="Q16" s="19"/>
      <c r="R16" s="23"/>
      <c r="S16" s="24"/>
      <c r="T16" s="36">
        <v>3</v>
      </c>
      <c r="U16" s="25"/>
      <c r="V16" s="25"/>
      <c r="W16" s="26"/>
      <c r="X16" s="24"/>
      <c r="Y16" s="25"/>
      <c r="Z16" s="25"/>
      <c r="AA16" s="25"/>
      <c r="AB16" s="26"/>
      <c r="AC16" s="27">
        <v>3</v>
      </c>
      <c r="AD16" s="25"/>
      <c r="AE16" s="25"/>
      <c r="AF16" s="26"/>
      <c r="AG16" s="24"/>
      <c r="AH16" s="25"/>
      <c r="AI16" s="25"/>
      <c r="AJ16" s="26"/>
      <c r="AK16" s="28"/>
      <c r="AL16" s="29"/>
      <c r="AM16" s="29"/>
      <c r="AN16" s="30"/>
      <c r="AO16" s="28"/>
      <c r="AP16" s="30"/>
      <c r="AQ16" s="28"/>
      <c r="AR16" s="30"/>
      <c r="AS16" s="12"/>
      <c r="AT16" s="13"/>
      <c r="AU16" s="14"/>
      <c r="AV16" s="52"/>
      <c r="AW16" t="s" s="53">
        <v>58</v>
      </c>
      <c r="AX16" s="54">
        <v>6</v>
      </c>
      <c r="AY16" s="12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</row>
    <row r="17" ht="75" customHeight="1">
      <c r="A17" t="s" s="17">
        <v>70</v>
      </c>
      <c r="B17" s="18"/>
      <c r="C17" s="19"/>
      <c r="D17" s="20"/>
      <c r="E17" s="23"/>
      <c r="F17" s="18"/>
      <c r="G17" s="19"/>
      <c r="H17" s="19"/>
      <c r="I17" s="23"/>
      <c r="J17" s="35">
        <v>2</v>
      </c>
      <c r="K17" s="22">
        <v>4</v>
      </c>
      <c r="L17" s="22">
        <v>3</v>
      </c>
      <c r="M17" s="22">
        <v>4</v>
      </c>
      <c r="N17" s="21">
        <v>3</v>
      </c>
      <c r="O17" s="18"/>
      <c r="P17" s="19"/>
      <c r="Q17" s="19"/>
      <c r="R17" s="23"/>
      <c r="S17" s="27">
        <v>4</v>
      </c>
      <c r="T17" s="36">
        <v>4</v>
      </c>
      <c r="U17" s="36">
        <v>3</v>
      </c>
      <c r="V17" s="36">
        <v>2</v>
      </c>
      <c r="W17" s="41">
        <v>2</v>
      </c>
      <c r="X17" s="24"/>
      <c r="Y17" s="25"/>
      <c r="Z17" s="25"/>
      <c r="AA17" s="25"/>
      <c r="AB17" s="26"/>
      <c r="AC17" s="24"/>
      <c r="AD17" s="25"/>
      <c r="AE17" s="25"/>
      <c r="AF17" s="26"/>
      <c r="AG17" s="24"/>
      <c r="AH17" s="25"/>
      <c r="AI17" s="25"/>
      <c r="AJ17" s="26"/>
      <c r="AK17" s="28"/>
      <c r="AL17" s="29"/>
      <c r="AM17" s="29"/>
      <c r="AN17" s="30"/>
      <c r="AO17" s="28"/>
      <c r="AP17" s="30"/>
      <c r="AQ17" s="28"/>
      <c r="AR17" s="30"/>
      <c r="AS17" s="12"/>
      <c r="AT17" s="13"/>
      <c r="AU17" s="14"/>
      <c r="AV17" s="52"/>
      <c r="AW17" t="s" s="53">
        <v>60</v>
      </c>
      <c r="AX17" s="54">
        <v>5</v>
      </c>
      <c r="AY17" s="60"/>
      <c r="AZ17" s="61"/>
      <c r="BA17" s="61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</row>
    <row r="18" ht="75" customHeight="1">
      <c r="A18" t="s" s="62">
        <v>71</v>
      </c>
      <c r="B18" s="63" cm="1">
        <f t="array" ref="B18">SUM(B2:B17)</f>
        <v>3.4</v>
      </c>
      <c r="C18" s="64" cm="1">
        <f t="array" ref="C18">SUM(C2:C17)</f>
        <v>5</v>
      </c>
      <c r="D18" s="64" cm="1">
        <f t="array" ref="D18">SUM(D2:D17)</f>
        <v>18.8</v>
      </c>
      <c r="E18" s="65" cm="1">
        <f t="array" ref="E18">SUM(E2:E17)</f>
        <v>6.7</v>
      </c>
      <c r="F18" s="63" cm="1">
        <f t="array" ref="F18">SUM(F2:F17)</f>
        <v>8.5</v>
      </c>
      <c r="G18" s="64" cm="1">
        <f t="array" ref="G18">SUM(G2:G17)</f>
        <v>9.199999999999999</v>
      </c>
      <c r="H18" s="64" cm="1">
        <f t="array" ref="H18">SUM(H2:H17)</f>
        <v>24.3</v>
      </c>
      <c r="I18" s="65" cm="1">
        <f t="array" ref="I18">SUM(I2:I17)</f>
        <v>28.4</v>
      </c>
      <c r="J18" s="63" cm="1">
        <f t="array" ref="J18">SUM(J2:J17)</f>
        <v>3</v>
      </c>
      <c r="K18" s="64" cm="1">
        <f t="array" ref="K18">SUM(K2:K17)</f>
        <v>19</v>
      </c>
      <c r="L18" s="64" cm="1">
        <f t="array" ref="L18">SUM(L2:L17)</f>
        <v>10.1</v>
      </c>
      <c r="M18" s="64" cm="1">
        <f t="array" ref="M18">SUM(M2:M17)</f>
        <v>22.1</v>
      </c>
      <c r="N18" s="65" cm="1">
        <f t="array" ref="N18">SUM(N2:N17)</f>
        <v>4.5</v>
      </c>
      <c r="O18" s="63" cm="1">
        <f t="array" ref="O18">SUM(O2:O17)</f>
        <v>7</v>
      </c>
      <c r="P18" s="64" cm="1">
        <f t="array" ref="P18">SUM(P2:P17)</f>
        <v>1</v>
      </c>
      <c r="Q18" s="64" cm="1">
        <f t="array" ref="Q18">SUM(Q2:Q17)</f>
        <v>3.9</v>
      </c>
      <c r="R18" s="65" cm="1">
        <f t="array" ref="R18">SUM(R2:R17)</f>
        <v>1.3</v>
      </c>
      <c r="S18" s="63" cm="1">
        <f t="array" ref="S18">SUM(S2:S17)</f>
        <v>10.2</v>
      </c>
      <c r="T18" s="64" cm="1">
        <f t="array" ref="T18">SUM(T2:T17)</f>
        <v>16.5</v>
      </c>
      <c r="U18" s="64" cm="1">
        <f t="array" ref="U18">SUM(U2:U17)</f>
        <v>4</v>
      </c>
      <c r="V18" s="64" cm="1">
        <f t="array" ref="V18">SUM(V2:V17)</f>
        <v>11.7</v>
      </c>
      <c r="W18" s="65" cm="1">
        <f t="array" ref="W18">SUM(W2:W17)</f>
        <v>2.8</v>
      </c>
      <c r="X18" s="63" cm="1">
        <f t="array" ref="X18">SUM(X2:X17)</f>
        <v>15.3</v>
      </c>
      <c r="Y18" s="64" cm="1">
        <f t="array" ref="Y18">SUM(Y2:Y17)</f>
        <v>8.300000000000001</v>
      </c>
      <c r="Z18" s="64" cm="1">
        <f t="array" ref="Z18">SUM(Z2:Z17)</f>
        <v>3</v>
      </c>
      <c r="AA18" s="64" cm="1">
        <f t="array" ref="AA18">SUM(AA2:AA17)</f>
        <v>9.5</v>
      </c>
      <c r="AB18" s="65" cm="1">
        <f t="array" ref="AB18">SUM(AB2:AB17)</f>
        <v>7</v>
      </c>
      <c r="AC18" s="63" cm="1">
        <f t="array" ref="AC18">SUM(AC2:AC17)</f>
        <v>12</v>
      </c>
      <c r="AD18" s="64" cm="1">
        <f t="array" ref="AD18">SUM(AD2:AD17)</f>
        <v>14.3</v>
      </c>
      <c r="AE18" s="64" cm="1">
        <f t="array" ref="AE18">SUM(AE2:AE17)</f>
        <v>8</v>
      </c>
      <c r="AF18" s="65" cm="1">
        <f t="array" ref="AF18">SUM(AF2:AF17)</f>
        <v>7.3</v>
      </c>
      <c r="AG18" s="63" cm="1">
        <f t="array" ref="AG18">SUM(AG2:AG17)</f>
        <v>14</v>
      </c>
      <c r="AH18" s="64" cm="1">
        <f t="array" ref="AH18">SUM(AH2:AH17)</f>
        <v>7</v>
      </c>
      <c r="AI18" s="64" cm="1">
        <f t="array" ref="AI18">SUM(AI2:AI17)</f>
        <v>7</v>
      </c>
      <c r="AJ18" s="65" cm="1">
        <f t="array" ref="AJ18">SUM(AJ2:AJ17)</f>
        <v>10</v>
      </c>
      <c r="AK18" s="63" cm="1">
        <f t="array" ref="AK18">SUM(AK2:AK17)</f>
        <v>1</v>
      </c>
      <c r="AL18" s="64" cm="1">
        <f t="array" ref="AL18">SUM(AL2:AL17)</f>
        <v>1</v>
      </c>
      <c r="AM18" s="64" cm="1">
        <f t="array" ref="AM18">SUM(AM2:AM17)</f>
        <v>1</v>
      </c>
      <c r="AN18" s="65" cm="1">
        <f t="array" ref="AN18">SUM(AN2:AN17)</f>
        <v>9</v>
      </c>
      <c r="AO18" s="63" cm="1">
        <f t="array" ref="AO18">SUM(AO2:AO17)</f>
        <v>1</v>
      </c>
      <c r="AP18" s="65" cm="1">
        <f t="array" ref="AP18">SUM(AP2:AP17)</f>
        <v>5</v>
      </c>
      <c r="AQ18" s="63" cm="1">
        <f t="array" ref="AQ18">SUM(AQ2:AQ17)</f>
        <v>6.3</v>
      </c>
      <c r="AR18" s="65" cm="1">
        <f t="array" ref="AR18">SUM(AR2:AR17)</f>
        <v>1</v>
      </c>
      <c r="AS18" s="12"/>
      <c r="AT18" s="13"/>
      <c r="AU18" s="14"/>
      <c r="AV18" s="48"/>
      <c r="AW18" t="s" s="49">
        <v>62</v>
      </c>
      <c r="AX18" s="50">
        <v>4</v>
      </c>
      <c r="AY18" t="s" s="66">
        <v>72</v>
      </c>
      <c r="AZ18" s="67"/>
      <c r="BA18" s="68"/>
      <c r="BB18" s="69"/>
      <c r="BC18" s="70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</row>
    <row r="19" ht="75" customHeight="1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4"/>
      <c r="AL19" s="74"/>
      <c r="AM19" s="74"/>
      <c r="AN19" s="74"/>
      <c r="AO19" s="74"/>
      <c r="AP19" s="74"/>
      <c r="AQ19" s="74"/>
      <c r="AR19" s="75"/>
      <c r="AS19" s="12"/>
      <c r="AT19" s="13"/>
      <c r="AU19" s="14"/>
      <c r="AV19" t="s" s="31">
        <v>73</v>
      </c>
      <c r="AW19" t="s" s="32">
        <v>56</v>
      </c>
      <c r="AX19" t="s" s="76">
        <v>74</v>
      </c>
      <c r="AY19" t="s" s="31">
        <v>73</v>
      </c>
      <c r="AZ19" t="s" s="32">
        <v>56</v>
      </c>
      <c r="BA19" s="33">
        <v>1</v>
      </c>
      <c r="BB19" s="12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</row>
    <row r="20" ht="75" customHeight="1">
      <c r="A20" s="7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80"/>
      <c r="AL20" s="80"/>
      <c r="AM20" s="80"/>
      <c r="AN20" s="80"/>
      <c r="AO20" s="80"/>
      <c r="AP20" s="80"/>
      <c r="AQ20" s="80"/>
      <c r="AR20" s="81"/>
      <c r="AS20" s="12"/>
      <c r="AT20" s="13"/>
      <c r="AU20" s="14"/>
      <c r="AV20" s="52"/>
      <c r="AW20" t="s" s="53">
        <v>58</v>
      </c>
      <c r="AX20" s="54">
        <v>3</v>
      </c>
      <c r="AY20" s="52"/>
      <c r="AZ20" t="s" s="53">
        <v>58</v>
      </c>
      <c r="BA20" s="54">
        <v>4</v>
      </c>
      <c r="BB20" s="12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</row>
    <row r="21" ht="75" customHeight="1">
      <c r="A21" s="82"/>
      <c r="B21" s="83" cm="1">
        <f t="array" ref="B21">B19+B20</f>
        <v>0</v>
      </c>
      <c r="C21" s="83" cm="1">
        <f t="array" ref="C21">C19+C20</f>
        <v>0</v>
      </c>
      <c r="D21" s="83" cm="1">
        <f t="array" ref="D21">D19+D20</f>
        <v>0</v>
      </c>
      <c r="E21" s="83" cm="1">
        <f t="array" ref="E21">E19+E20</f>
        <v>0</v>
      </c>
      <c r="F21" s="83" cm="1">
        <f t="array" ref="F21">F19+F20</f>
        <v>0</v>
      </c>
      <c r="G21" s="83" cm="1">
        <f t="array" ref="G21">G19+G20</f>
        <v>0</v>
      </c>
      <c r="H21" s="83" cm="1">
        <f t="array" ref="H21">H19+H20</f>
        <v>0</v>
      </c>
      <c r="I21" s="83" cm="1">
        <f t="array" ref="I21">I19+I20</f>
        <v>0</v>
      </c>
      <c r="J21" s="83" cm="1">
        <f t="array" ref="J21">J19+J20</f>
        <v>0</v>
      </c>
      <c r="K21" s="83" cm="1">
        <f t="array" ref="K21">K19+K20</f>
        <v>0</v>
      </c>
      <c r="L21" s="83" cm="1">
        <f t="array" ref="L21">L19+L20</f>
        <v>0</v>
      </c>
      <c r="M21" s="83" cm="1">
        <f t="array" ref="M21">M19+M20</f>
        <v>0</v>
      </c>
      <c r="N21" s="83" cm="1">
        <f t="array" ref="N21">N19+N20</f>
        <v>0</v>
      </c>
      <c r="O21" s="83" cm="1">
        <f t="array" ref="O21">O19+O20</f>
        <v>0</v>
      </c>
      <c r="P21" s="83" cm="1">
        <f t="array" ref="P21">P19+P20</f>
        <v>0</v>
      </c>
      <c r="Q21" s="83" cm="1">
        <f t="array" ref="Q21">Q19+Q20</f>
        <v>0</v>
      </c>
      <c r="R21" s="83" cm="1">
        <f t="array" ref="R21">R19+R20</f>
        <v>0</v>
      </c>
      <c r="S21" s="83" cm="1">
        <f t="array" ref="S21">S19+S20</f>
        <v>0</v>
      </c>
      <c r="T21" s="83" cm="1">
        <f t="array" ref="T21">T19+T20</f>
        <v>0</v>
      </c>
      <c r="U21" s="83" cm="1">
        <f t="array" ref="U21">U19+U20</f>
        <v>0</v>
      </c>
      <c r="V21" s="83" cm="1">
        <f t="array" ref="V21">V19+V20</f>
        <v>0</v>
      </c>
      <c r="W21" s="83" cm="1">
        <f t="array" ref="W21">W19+W20</f>
        <v>0</v>
      </c>
      <c r="X21" s="83" cm="1">
        <f t="array" ref="X21">X19+X20</f>
        <v>0</v>
      </c>
      <c r="Y21" s="83" cm="1">
        <f t="array" ref="Y21">Y19+Y20</f>
        <v>0</v>
      </c>
      <c r="Z21" s="83" cm="1">
        <f t="array" ref="Z21">Z19+Z20</f>
        <v>0</v>
      </c>
      <c r="AA21" s="83" cm="1">
        <f t="array" ref="AA21">AA19+AA20</f>
        <v>0</v>
      </c>
      <c r="AB21" s="83" cm="1">
        <f t="array" ref="AB21">AB19+AB20</f>
        <v>0</v>
      </c>
      <c r="AC21" s="83" cm="1">
        <f t="array" ref="AC21">AC19+AC20</f>
        <v>0</v>
      </c>
      <c r="AD21" s="83" cm="1">
        <f t="array" ref="AD21">AD19+AD20</f>
        <v>0</v>
      </c>
      <c r="AE21" s="83" cm="1">
        <f t="array" ref="AE21">AE19+AE20</f>
        <v>0</v>
      </c>
      <c r="AF21" s="83" cm="1">
        <f t="array" ref="AF21">AF19+AF20</f>
        <v>0</v>
      </c>
      <c r="AG21" s="83" cm="1">
        <f t="array" ref="AG21">AG19+AG20</f>
        <v>0</v>
      </c>
      <c r="AH21" s="83" cm="1">
        <f t="array" ref="AH21">AH19+AH20</f>
        <v>0</v>
      </c>
      <c r="AI21" s="83" cm="1">
        <f t="array" ref="AI21">AI19+AI20</f>
        <v>0</v>
      </c>
      <c r="AJ21" s="83" cm="1">
        <f t="array" ref="AJ21">AJ19+AJ20</f>
        <v>0</v>
      </c>
      <c r="AK21" s="83" cm="1">
        <f t="array" ref="AK21">AK19+AK20</f>
        <v>0</v>
      </c>
      <c r="AL21" s="83" cm="1">
        <f t="array" ref="AL21">AL19+AL20</f>
        <v>0</v>
      </c>
      <c r="AM21" s="83" cm="1">
        <f t="array" ref="AM21">AM19+AM20</f>
        <v>0</v>
      </c>
      <c r="AN21" s="83" cm="1">
        <f t="array" ref="AN21">AN19+AN20</f>
        <v>0</v>
      </c>
      <c r="AO21" s="83" cm="1">
        <f t="array" ref="AO21">AO19+AO20</f>
        <v>0</v>
      </c>
      <c r="AP21" s="83" cm="1">
        <f t="array" ref="AP21">AP19+AP20</f>
        <v>0</v>
      </c>
      <c r="AQ21" s="83" cm="1">
        <f t="array" ref="AQ21">AQ19+AQ20</f>
        <v>0</v>
      </c>
      <c r="AR21" s="84" cm="1">
        <f t="array" ref="AR21">AR19+AR20</f>
        <v>0</v>
      </c>
      <c r="AS21" s="12"/>
      <c r="AT21" s="13"/>
      <c r="AU21" s="14"/>
      <c r="AV21" s="52"/>
      <c r="AW21" t="s" s="53">
        <v>60</v>
      </c>
      <c r="AX21" s="54">
        <v>2</v>
      </c>
      <c r="AY21" s="52"/>
      <c r="AZ21" t="s" s="53">
        <v>60</v>
      </c>
      <c r="BA21" s="54">
        <v>3</v>
      </c>
      <c r="BB21" s="12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</row>
    <row r="22" ht="84" customHeight="1">
      <c r="A22" s="85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4"/>
      <c r="AL22" s="74"/>
      <c r="AM22" s="74"/>
      <c r="AN22" s="74"/>
      <c r="AO22" s="74"/>
      <c r="AP22" s="74"/>
      <c r="AQ22" s="74"/>
      <c r="AR22" s="74"/>
      <c r="AS22" s="13"/>
      <c r="AT22" s="13"/>
      <c r="AU22" s="14"/>
      <c r="AV22" s="48"/>
      <c r="AW22" t="s" s="49">
        <v>62</v>
      </c>
      <c r="AX22" s="50">
        <v>1</v>
      </c>
      <c r="AY22" s="48"/>
      <c r="AZ22" t="s" s="49">
        <v>62</v>
      </c>
      <c r="BA22" s="50">
        <v>2</v>
      </c>
      <c r="BB22" s="12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</row>
    <row r="23" ht="75" customHeight="1">
      <c r="A23" t="s" s="86">
        <v>75</v>
      </c>
      <c r="B23" s="87" cm="1">
        <f t="array" ref="B23">B22</f>
        <v>0</v>
      </c>
      <c r="C23" s="87" cm="1">
        <f t="array" ref="C23">C22</f>
        <v>0</v>
      </c>
      <c r="D23" s="87" cm="1">
        <f t="array" ref="D23">D22</f>
        <v>0</v>
      </c>
      <c r="E23" s="87" cm="1">
        <f t="array" ref="E23">E22</f>
        <v>0</v>
      </c>
      <c r="F23" s="87" cm="1">
        <f t="array" ref="F23">F22</f>
        <v>0</v>
      </c>
      <c r="G23" s="87" cm="1">
        <f t="array" ref="G23">G22</f>
        <v>0</v>
      </c>
      <c r="H23" s="87" cm="1">
        <f t="array" ref="H23">H22</f>
        <v>0</v>
      </c>
      <c r="I23" s="87" cm="1">
        <f t="array" ref="I23">I22</f>
        <v>0</v>
      </c>
      <c r="J23" s="87" cm="1">
        <f t="array" ref="J23">J22</f>
        <v>0</v>
      </c>
      <c r="K23" s="87" cm="1">
        <f t="array" ref="K23">K22</f>
        <v>0</v>
      </c>
      <c r="L23" s="87" cm="1">
        <f t="array" ref="L23">L22</f>
        <v>0</v>
      </c>
      <c r="M23" s="87" cm="1">
        <f t="array" ref="M23">M22</f>
        <v>0</v>
      </c>
      <c r="N23" s="87" cm="1">
        <f t="array" ref="N23">N22</f>
        <v>0</v>
      </c>
      <c r="O23" s="87" cm="1">
        <f t="array" ref="O23">O22</f>
        <v>0</v>
      </c>
      <c r="P23" s="87" cm="1">
        <f t="array" ref="P23">P22</f>
        <v>0</v>
      </c>
      <c r="Q23" s="87" cm="1">
        <f t="array" ref="Q23">Q22</f>
        <v>0</v>
      </c>
      <c r="R23" s="87" cm="1">
        <f t="array" ref="R23">R22</f>
        <v>0</v>
      </c>
      <c r="S23" s="87" cm="1">
        <f t="array" ref="S23">S22</f>
        <v>0</v>
      </c>
      <c r="T23" s="87" cm="1">
        <f t="array" ref="T23">T22</f>
        <v>0</v>
      </c>
      <c r="U23" s="87" cm="1">
        <f t="array" ref="U23">U22</f>
        <v>0</v>
      </c>
      <c r="V23" s="87" cm="1">
        <f t="array" ref="V23">V22</f>
        <v>0</v>
      </c>
      <c r="W23" s="87" cm="1">
        <f t="array" ref="W23">W22</f>
        <v>0</v>
      </c>
      <c r="X23" s="87" cm="1">
        <f t="array" ref="X23">X22</f>
        <v>0</v>
      </c>
      <c r="Y23" s="87" cm="1">
        <f t="array" ref="Y23">Y22</f>
        <v>0</v>
      </c>
      <c r="Z23" s="87" cm="1">
        <f t="array" ref="Z23">Z22</f>
        <v>0</v>
      </c>
      <c r="AA23" s="87" cm="1">
        <f t="array" ref="AA23">AA22</f>
        <v>0</v>
      </c>
      <c r="AB23" s="87" cm="1">
        <f t="array" ref="AB23">AB22</f>
        <v>0</v>
      </c>
      <c r="AC23" s="87" cm="1">
        <f t="array" ref="AC23">AC22</f>
        <v>0</v>
      </c>
      <c r="AD23" s="87" cm="1">
        <f t="array" ref="AD23">AD22</f>
        <v>0</v>
      </c>
      <c r="AE23" s="87" cm="1">
        <f t="array" ref="AE23">AE22</f>
        <v>0</v>
      </c>
      <c r="AF23" s="87" cm="1">
        <f t="array" ref="AF23">AF22</f>
        <v>0</v>
      </c>
      <c r="AG23" s="87" cm="1">
        <f t="array" ref="AG23">AG22</f>
        <v>0</v>
      </c>
      <c r="AH23" s="87" cm="1">
        <f t="array" ref="AH23">AH22</f>
        <v>0</v>
      </c>
      <c r="AI23" s="87" cm="1">
        <f t="array" ref="AI23">AI22</f>
        <v>0</v>
      </c>
      <c r="AJ23" s="87" cm="1">
        <f t="array" ref="AJ23">AJ22</f>
        <v>0</v>
      </c>
      <c r="AK23" s="87" cm="1">
        <f t="array" ref="AK23">AK22</f>
        <v>0</v>
      </c>
      <c r="AL23" s="87" cm="1">
        <f t="array" ref="AL23">AL22</f>
        <v>0</v>
      </c>
      <c r="AM23" s="87" cm="1">
        <f t="array" ref="AM23">AM22</f>
        <v>0</v>
      </c>
      <c r="AN23" s="87" cm="1">
        <f t="array" ref="AN23">AN22</f>
        <v>0</v>
      </c>
      <c r="AO23" s="88" cm="1">
        <f t="array" ref="AO23">AO22</f>
        <v>0</v>
      </c>
      <c r="AP23" s="88" cm="1">
        <f t="array" ref="AP23">AP22</f>
        <v>0</v>
      </c>
      <c r="AQ23" s="88" cm="1">
        <f t="array" ref="AQ23">AQ22</f>
        <v>0</v>
      </c>
      <c r="AR23" s="88" cm="1">
        <f t="array" ref="AR23">AR22</f>
        <v>0</v>
      </c>
      <c r="AS23" s="13"/>
      <c r="AT23" s="13"/>
      <c r="AU23" s="14"/>
      <c r="AV23" t="s" s="31">
        <v>76</v>
      </c>
      <c r="AW23" t="s" s="32">
        <v>56</v>
      </c>
      <c r="AX23" t="s" s="76">
        <v>77</v>
      </c>
      <c r="AY23" t="s" s="31">
        <v>76</v>
      </c>
      <c r="AZ23" t="s" s="32">
        <v>56</v>
      </c>
      <c r="BA23" s="33">
        <v>2</v>
      </c>
      <c r="BB23" s="12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</row>
    <row r="24" ht="60" customHeight="1">
      <c r="A24" s="89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4"/>
      <c r="AL24" s="74"/>
      <c r="AM24" s="74"/>
      <c r="AN24" s="74"/>
      <c r="AO24" s="80"/>
      <c r="AP24" s="80"/>
      <c r="AQ24" s="80"/>
      <c r="AR24" s="80"/>
      <c r="AS24" s="13"/>
      <c r="AT24" s="13"/>
      <c r="AU24" s="14"/>
      <c r="AV24" s="52"/>
      <c r="AW24" t="s" s="53">
        <v>58</v>
      </c>
      <c r="AX24" s="54">
        <v>4</v>
      </c>
      <c r="AY24" s="52"/>
      <c r="AZ24" t="s" s="53">
        <v>58</v>
      </c>
      <c r="BA24" s="54">
        <v>5</v>
      </c>
      <c r="BB24" s="12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</row>
    <row r="25" ht="63" customHeight="1">
      <c r="A25" s="90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80"/>
      <c r="AL25" s="80"/>
      <c r="AM25" s="80"/>
      <c r="AN25" s="80"/>
      <c r="AO25" s="80"/>
      <c r="AP25" s="80"/>
      <c r="AQ25" s="80"/>
      <c r="AR25" s="80"/>
      <c r="AS25" s="13"/>
      <c r="AT25" s="13"/>
      <c r="AU25" s="14"/>
      <c r="AV25" s="52"/>
      <c r="AW25" t="s" s="53">
        <v>60</v>
      </c>
      <c r="AX25" s="54">
        <v>3</v>
      </c>
      <c r="AY25" s="52"/>
      <c r="AZ25" t="s" s="53">
        <v>60</v>
      </c>
      <c r="BA25" s="54">
        <v>4</v>
      </c>
      <c r="BB25" s="12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</row>
    <row r="26" ht="64.5" customHeight="1">
      <c r="A26" s="90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80"/>
      <c r="AL26" s="80"/>
      <c r="AM26" s="80"/>
      <c r="AN26" s="80"/>
      <c r="AO26" s="80"/>
      <c r="AP26" s="80"/>
      <c r="AQ26" s="80"/>
      <c r="AR26" s="80"/>
      <c r="AS26" s="13"/>
      <c r="AT26" s="13"/>
      <c r="AU26" s="14"/>
      <c r="AV26" s="48"/>
      <c r="AW26" t="s" s="49">
        <v>62</v>
      </c>
      <c r="AX26" s="50">
        <v>2</v>
      </c>
      <c r="AY26" s="48"/>
      <c r="AZ26" t="s" s="49">
        <v>62</v>
      </c>
      <c r="BA26" s="50">
        <v>3</v>
      </c>
      <c r="BB26" s="12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</row>
    <row r="27" ht="67.5" customHeight="1">
      <c r="A27" s="90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80"/>
      <c r="AL27" s="80"/>
      <c r="AM27" s="80"/>
      <c r="AN27" s="80"/>
      <c r="AO27" s="80"/>
      <c r="AP27" s="80"/>
      <c r="AQ27" s="80"/>
      <c r="AR27" s="80"/>
      <c r="AS27" s="13"/>
      <c r="AT27" s="13"/>
      <c r="AU27" s="14"/>
      <c r="AV27" t="s" s="31">
        <v>78</v>
      </c>
      <c r="AW27" t="s" s="32">
        <v>56</v>
      </c>
      <c r="AX27" t="s" s="76">
        <v>79</v>
      </c>
      <c r="AY27" t="s" s="31">
        <v>78</v>
      </c>
      <c r="AZ27" t="s" s="32">
        <v>56</v>
      </c>
      <c r="BA27" s="33">
        <v>3</v>
      </c>
      <c r="BB27" s="12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</row>
    <row r="28" ht="58.5" customHeight="1">
      <c r="A28" s="90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80"/>
      <c r="AL28" s="80"/>
      <c r="AM28" s="80"/>
      <c r="AN28" s="80"/>
      <c r="AO28" s="80"/>
      <c r="AP28" s="80"/>
      <c r="AQ28" s="80"/>
      <c r="AR28" s="80"/>
      <c r="AS28" s="13"/>
      <c r="AT28" s="13"/>
      <c r="AU28" s="14"/>
      <c r="AV28" s="52"/>
      <c r="AW28" t="s" s="53">
        <v>58</v>
      </c>
      <c r="AX28" s="54">
        <v>5</v>
      </c>
      <c r="AY28" s="52"/>
      <c r="AZ28" t="s" s="53">
        <v>58</v>
      </c>
      <c r="BA28" s="54">
        <v>6</v>
      </c>
      <c r="BB28" s="12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</row>
    <row r="29" ht="58.5" customHeight="1">
      <c r="A29" s="90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80"/>
      <c r="AL29" s="80"/>
      <c r="AM29" s="80"/>
      <c r="AN29" s="80"/>
      <c r="AO29" s="80"/>
      <c r="AP29" s="80"/>
      <c r="AQ29" s="80"/>
      <c r="AR29" s="80"/>
      <c r="AS29" s="13"/>
      <c r="AT29" s="13"/>
      <c r="AU29" s="14"/>
      <c r="AV29" s="52"/>
      <c r="AW29" t="s" s="53">
        <v>60</v>
      </c>
      <c r="AX29" s="54">
        <v>4</v>
      </c>
      <c r="AY29" s="52"/>
      <c r="AZ29" t="s" s="53">
        <v>60</v>
      </c>
      <c r="BA29" s="54">
        <v>5</v>
      </c>
      <c r="BB29" s="12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</row>
    <row r="30" ht="84" customHeight="1">
      <c r="A30" s="90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80"/>
      <c r="AL30" s="80"/>
      <c r="AM30" s="80"/>
      <c r="AN30" s="80"/>
      <c r="AO30" s="80"/>
      <c r="AP30" s="80"/>
      <c r="AQ30" s="80"/>
      <c r="AR30" s="80"/>
      <c r="AS30" s="13"/>
      <c r="AT30" s="13"/>
      <c r="AU30" s="14"/>
      <c r="AV30" s="48"/>
      <c r="AW30" t="s" s="49">
        <v>62</v>
      </c>
      <c r="AX30" s="50">
        <v>3</v>
      </c>
      <c r="AY30" s="48"/>
      <c r="AZ30" t="s" s="49">
        <v>62</v>
      </c>
      <c r="BA30" s="50">
        <v>4</v>
      </c>
      <c r="BB30" s="12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</row>
    <row r="31" ht="63" customHeight="1">
      <c r="A31" t="s" s="91">
        <v>80</v>
      </c>
      <c r="B31" s="92" cm="1">
        <f t="array" ref="B31">SUM(B24:B30)</f>
        <v>0</v>
      </c>
      <c r="C31" s="92" cm="1">
        <f t="array" ref="C31">SUM(C24:C30)</f>
        <v>0</v>
      </c>
      <c r="D31" s="92" cm="1">
        <f t="array" ref="D31">SUM(D24:D30)</f>
        <v>0</v>
      </c>
      <c r="E31" s="92" cm="1">
        <f t="array" ref="E31">SUM(E24:E30)</f>
        <v>0</v>
      </c>
      <c r="F31" s="92" cm="1">
        <f t="array" ref="F31">SUM(F24:F30)</f>
        <v>0</v>
      </c>
      <c r="G31" s="92" cm="1">
        <f t="array" ref="G31">SUM(G24:G30)</f>
        <v>0</v>
      </c>
      <c r="H31" s="92" cm="1">
        <f t="array" ref="H31">SUM(H24:H30)</f>
        <v>0</v>
      </c>
      <c r="I31" s="92" cm="1">
        <f t="array" ref="I31">SUM(I24:I30)</f>
        <v>0</v>
      </c>
      <c r="J31" s="92" cm="1">
        <f t="array" ref="J31">SUM(J24:J30)</f>
        <v>0</v>
      </c>
      <c r="K31" s="92" cm="1">
        <f t="array" ref="K31">SUM(K24:K30)</f>
        <v>0</v>
      </c>
      <c r="L31" s="92" cm="1">
        <f t="array" ref="L31">SUM(L24:L30)</f>
        <v>0</v>
      </c>
      <c r="M31" s="92" cm="1">
        <f t="array" ref="M31">SUM(M24:M30)</f>
        <v>0</v>
      </c>
      <c r="N31" s="92" cm="1">
        <f t="array" ref="N31">SUM(N24:N30)</f>
        <v>0</v>
      </c>
      <c r="O31" s="92" cm="1">
        <f t="array" ref="O31">SUM(O24:O30)</f>
        <v>0</v>
      </c>
      <c r="P31" s="92" cm="1">
        <f t="array" ref="P31">SUM(P24:P30)</f>
        <v>0</v>
      </c>
      <c r="Q31" s="92" cm="1">
        <f t="array" ref="Q31">SUM(Q24:Q30)</f>
        <v>0</v>
      </c>
      <c r="R31" s="92" cm="1">
        <f t="array" ref="R31">SUM(R24:R30)</f>
        <v>0</v>
      </c>
      <c r="S31" s="92" cm="1">
        <f t="array" ref="S31">SUM(S24:S30)</f>
        <v>0</v>
      </c>
      <c r="T31" s="92" cm="1">
        <f t="array" ref="T31">SUM(T24:T30)</f>
        <v>0</v>
      </c>
      <c r="U31" s="92" cm="1">
        <f t="array" ref="U31">SUM(U24:U30)</f>
        <v>0</v>
      </c>
      <c r="V31" s="92" cm="1">
        <f t="array" ref="V31">SUM(V24:V30)</f>
        <v>0</v>
      </c>
      <c r="W31" s="92" cm="1">
        <f t="array" ref="W31">SUM(W24:W30)</f>
        <v>0</v>
      </c>
      <c r="X31" s="92" cm="1">
        <f t="array" ref="X31">SUM(X24:X30)</f>
        <v>0</v>
      </c>
      <c r="Y31" s="92" cm="1">
        <f t="array" ref="Y31">SUM(Y24:Y30)</f>
        <v>0</v>
      </c>
      <c r="Z31" s="92" cm="1">
        <f t="array" ref="Z31">SUM(Z24:Z30)</f>
        <v>0</v>
      </c>
      <c r="AA31" s="92" cm="1">
        <f t="array" ref="AA31">SUM(AA24:AA30)</f>
        <v>0</v>
      </c>
      <c r="AB31" s="92" cm="1">
        <f t="array" ref="AB31">SUM(AB24:AB30)</f>
        <v>0</v>
      </c>
      <c r="AC31" s="92" cm="1">
        <f t="array" ref="AC31">SUM(AC24:AC30)</f>
        <v>0</v>
      </c>
      <c r="AD31" s="92" cm="1">
        <f t="array" ref="AD31">SUM(AD24:AD30)</f>
        <v>0</v>
      </c>
      <c r="AE31" s="92" cm="1">
        <f t="array" ref="AE31">SUM(AE24:AE30)</f>
        <v>0</v>
      </c>
      <c r="AF31" s="92" cm="1">
        <f t="array" ref="AF31">SUM(AF24:AF30)</f>
        <v>0</v>
      </c>
      <c r="AG31" s="92" cm="1">
        <f t="array" ref="AG31">SUM(AG24:AG30)</f>
        <v>0</v>
      </c>
      <c r="AH31" s="92" cm="1">
        <f t="array" ref="AH31">SUM(AH24:AH30)</f>
        <v>0</v>
      </c>
      <c r="AI31" s="92" cm="1">
        <f t="array" ref="AI31">SUM(AI24:AI30)</f>
        <v>0</v>
      </c>
      <c r="AJ31" s="92" cm="1">
        <f t="array" ref="AJ31">SUM(AJ24:AJ30)</f>
        <v>0</v>
      </c>
      <c r="AK31" s="92" cm="1">
        <f t="array" ref="AK31">SUM(AK24:AK30)</f>
        <v>0</v>
      </c>
      <c r="AL31" s="92" cm="1">
        <f t="array" ref="AL31">SUM(AL24:AL30)</f>
        <v>0</v>
      </c>
      <c r="AM31" s="92" cm="1">
        <f t="array" ref="AM31">SUM(AM24:AM30)</f>
        <v>0</v>
      </c>
      <c r="AN31" s="92" cm="1">
        <f t="array" ref="AN31">SUM(AN24:AN30)</f>
        <v>0</v>
      </c>
      <c r="AO31" s="92" cm="1">
        <f t="array" ref="AO31">SUM(AO24:AO30)</f>
        <v>0</v>
      </c>
      <c r="AP31" s="92" cm="1">
        <f t="array" ref="AP31">SUM(AP24:AP30)</f>
        <v>0</v>
      </c>
      <c r="AQ31" s="92" cm="1">
        <f t="array" ref="AQ31">SUM(AQ24:AQ30)</f>
        <v>0</v>
      </c>
      <c r="AR31" s="92" cm="1">
        <f t="array" ref="AR31">SUM(AR24:AR30)</f>
        <v>0</v>
      </c>
      <c r="AS31" s="13"/>
      <c r="AT31" s="13"/>
      <c r="AU31" s="14"/>
      <c r="AV31" t="s" s="31">
        <v>81</v>
      </c>
      <c r="AW31" t="s" s="32">
        <v>56</v>
      </c>
      <c r="AX31" t="s" s="76">
        <v>82</v>
      </c>
      <c r="AY31" t="s" s="31">
        <v>81</v>
      </c>
      <c r="AZ31" t="s" s="32">
        <v>56</v>
      </c>
      <c r="BA31" s="33">
        <v>4</v>
      </c>
      <c r="BB31" s="12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</row>
    <row r="32" ht="50.1" customHeight="1">
      <c r="A32" s="93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80"/>
      <c r="AL32" s="80"/>
      <c r="AM32" s="80"/>
      <c r="AN32" s="80"/>
      <c r="AO32" s="80"/>
      <c r="AP32" s="80"/>
      <c r="AQ32" s="80"/>
      <c r="AR32" s="80"/>
      <c r="AS32" s="13"/>
      <c r="AT32" s="13"/>
      <c r="AU32" s="14"/>
      <c r="AV32" s="52"/>
      <c r="AW32" t="s" s="53">
        <v>58</v>
      </c>
      <c r="AX32" s="54">
        <v>6</v>
      </c>
      <c r="AY32" s="52"/>
      <c r="AZ32" t="s" s="53">
        <v>58</v>
      </c>
      <c r="BA32" s="54">
        <v>7</v>
      </c>
      <c r="BB32" s="12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</row>
    <row r="33" ht="45" customHeight="1">
      <c r="A33" s="93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80"/>
      <c r="AL33" s="80"/>
      <c r="AM33" s="80"/>
      <c r="AN33" s="80"/>
      <c r="AO33" s="80"/>
      <c r="AP33" s="80"/>
      <c r="AQ33" s="80"/>
      <c r="AR33" s="80"/>
      <c r="AS33" s="13"/>
      <c r="AT33" s="13"/>
      <c r="AU33" s="14"/>
      <c r="AV33" s="52"/>
      <c r="AW33" t="s" s="53">
        <v>60</v>
      </c>
      <c r="AX33" s="54">
        <v>5</v>
      </c>
      <c r="AY33" s="52"/>
      <c r="AZ33" t="s" s="53">
        <v>60</v>
      </c>
      <c r="BA33" s="54">
        <v>6</v>
      </c>
      <c r="BB33" s="12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</row>
    <row r="34" ht="57" customHeight="1">
      <c r="A34" s="93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80"/>
      <c r="AL34" s="80"/>
      <c r="AM34" s="80"/>
      <c r="AN34" s="80"/>
      <c r="AO34" s="80"/>
      <c r="AP34" s="80"/>
      <c r="AQ34" s="80"/>
      <c r="AR34" s="80"/>
      <c r="AS34" s="13"/>
      <c r="AT34" s="13"/>
      <c r="AU34" s="14"/>
      <c r="AV34" s="48"/>
      <c r="AW34" t="s" s="49">
        <v>62</v>
      </c>
      <c r="AX34" s="50">
        <v>4</v>
      </c>
      <c r="AY34" s="48"/>
      <c r="AZ34" t="s" s="49">
        <v>62</v>
      </c>
      <c r="BA34" s="50">
        <v>5</v>
      </c>
      <c r="BB34" s="12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</row>
    <row r="35" ht="63" customHeight="1">
      <c r="A35" s="93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80"/>
      <c r="AL35" s="80"/>
      <c r="AM35" s="80"/>
      <c r="AN35" s="80"/>
      <c r="AO35" s="80"/>
      <c r="AP35" s="80"/>
      <c r="AQ35" s="80"/>
      <c r="AR35" s="80"/>
      <c r="AS35" s="13"/>
      <c r="AT35" s="13"/>
      <c r="AU35" s="14"/>
      <c r="AV35" t="s" s="31">
        <v>83</v>
      </c>
      <c r="AW35" t="s" s="32">
        <v>56</v>
      </c>
      <c r="AX35" t="s" s="76">
        <v>84</v>
      </c>
      <c r="AY35" t="s" s="31">
        <v>83</v>
      </c>
      <c r="AZ35" t="s" s="32">
        <v>56</v>
      </c>
      <c r="BA35" s="33">
        <v>5</v>
      </c>
      <c r="BB35" s="12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</row>
    <row r="36" ht="57" customHeight="1">
      <c r="A36" s="93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80"/>
      <c r="AL36" s="80"/>
      <c r="AM36" s="80"/>
      <c r="AN36" s="80"/>
      <c r="AO36" s="80"/>
      <c r="AP36" s="80"/>
      <c r="AQ36" s="80"/>
      <c r="AR36" s="80"/>
      <c r="AS36" s="13"/>
      <c r="AT36" s="13"/>
      <c r="AU36" s="14"/>
      <c r="AV36" s="52"/>
      <c r="AW36" t="s" s="53">
        <v>58</v>
      </c>
      <c r="AX36" s="54">
        <v>7</v>
      </c>
      <c r="AY36" s="52"/>
      <c r="AZ36" t="s" s="53">
        <v>58</v>
      </c>
      <c r="BA36" s="54">
        <v>8</v>
      </c>
      <c r="BB36" s="12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</row>
    <row r="37" ht="45" customHeight="1">
      <c r="A37" s="93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80"/>
      <c r="AL37" s="80"/>
      <c r="AM37" s="80"/>
      <c r="AN37" s="80"/>
      <c r="AO37" s="80"/>
      <c r="AP37" s="80"/>
      <c r="AQ37" s="80"/>
      <c r="AR37" s="80"/>
      <c r="AS37" s="13"/>
      <c r="AT37" s="13"/>
      <c r="AU37" s="14"/>
      <c r="AV37" s="52"/>
      <c r="AW37" t="s" s="53">
        <v>60</v>
      </c>
      <c r="AX37" s="54">
        <v>6</v>
      </c>
      <c r="AY37" s="52"/>
      <c r="AZ37" t="s" s="53">
        <v>60</v>
      </c>
      <c r="BA37" s="54">
        <v>7</v>
      </c>
      <c r="BB37" s="12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</row>
    <row r="38" ht="45" customHeight="1">
      <c r="A38" s="93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80"/>
      <c r="AL38" s="80"/>
      <c r="AM38" s="80"/>
      <c r="AN38" s="80"/>
      <c r="AO38" s="80"/>
      <c r="AP38" s="80"/>
      <c r="AQ38" s="80"/>
      <c r="AR38" s="80"/>
      <c r="AS38" s="13"/>
      <c r="AT38" s="13"/>
      <c r="AU38" s="14"/>
      <c r="AV38" s="48"/>
      <c r="AW38" t="s" s="49">
        <v>62</v>
      </c>
      <c r="AX38" s="50">
        <v>5</v>
      </c>
      <c r="AY38" s="48"/>
      <c r="AZ38" t="s" s="49">
        <v>62</v>
      </c>
      <c r="BA38" s="50">
        <v>6</v>
      </c>
      <c r="BB38" s="12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</row>
    <row r="39" ht="63.75" customHeight="1">
      <c r="A39" s="93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80"/>
      <c r="AL39" s="80"/>
      <c r="AM39" s="80"/>
      <c r="AN39" s="80"/>
      <c r="AO39" s="80"/>
      <c r="AP39" s="80"/>
      <c r="AQ39" s="80"/>
      <c r="AR39" s="80"/>
      <c r="AS39" s="13"/>
      <c r="AT39" s="13"/>
      <c r="AU39" s="14"/>
      <c r="AV39" t="s" s="16">
        <v>85</v>
      </c>
      <c r="AW39" s="94"/>
      <c r="AX39" t="s" s="95">
        <v>86</v>
      </c>
      <c r="AY39" t="s" s="16">
        <v>87</v>
      </c>
      <c r="AZ39" s="94"/>
      <c r="BA39" t="s" s="95">
        <v>88</v>
      </c>
      <c r="BB39" s="12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</row>
    <row r="40" ht="66" customHeight="1">
      <c r="A40" s="93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80"/>
      <c r="AL40" s="80"/>
      <c r="AM40" s="80"/>
      <c r="AN40" s="80"/>
      <c r="AO40" s="80"/>
      <c r="AP40" s="80"/>
      <c r="AQ40" s="80"/>
      <c r="AR40" s="80"/>
      <c r="AS40" s="13"/>
      <c r="AT40" s="13"/>
      <c r="AU40" s="14"/>
      <c r="AV40" t="s" s="31">
        <v>89</v>
      </c>
      <c r="AW40" t="s" s="32">
        <v>90</v>
      </c>
      <c r="AX40" t="s" s="76">
        <v>91</v>
      </c>
      <c r="AY40" s="96"/>
      <c r="AZ40" s="97"/>
      <c r="BA40" s="97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</row>
    <row r="41" ht="57" customHeight="1">
      <c r="A41" t="s" s="98">
        <v>92</v>
      </c>
      <c r="B41" s="99" cm="1">
        <f t="array" ref="B41">SUM(B32:B40)</f>
        <v>0</v>
      </c>
      <c r="C41" s="99" cm="1">
        <f t="array" ref="C41">SUM(C32:C40)</f>
        <v>0</v>
      </c>
      <c r="D41" s="99" cm="1">
        <f t="array" ref="D41">SUM(D32:D40)</f>
        <v>0</v>
      </c>
      <c r="E41" s="99" cm="1">
        <f t="array" ref="E41">SUM(E32:E40)</f>
        <v>0</v>
      </c>
      <c r="F41" s="99" cm="1">
        <f t="array" ref="F41">SUM(F32:F40)</f>
        <v>0</v>
      </c>
      <c r="G41" s="99" cm="1">
        <f t="array" ref="G41">SUM(G32:G40)</f>
        <v>0</v>
      </c>
      <c r="H41" s="99" cm="1">
        <f t="array" ref="H41">SUM(H32:H40)</f>
        <v>0</v>
      </c>
      <c r="I41" s="99" cm="1">
        <f t="array" ref="I41">SUM(I32:I40)</f>
        <v>0</v>
      </c>
      <c r="J41" s="99" cm="1">
        <f t="array" ref="J41">SUM(J32:J40)</f>
        <v>0</v>
      </c>
      <c r="K41" s="99" cm="1">
        <f t="array" ref="K41">SUM(K32:K40)</f>
        <v>0</v>
      </c>
      <c r="L41" s="99" cm="1">
        <f t="array" ref="L41">SUM(L32:L40)</f>
        <v>0</v>
      </c>
      <c r="M41" s="99" cm="1">
        <f t="array" ref="M41">SUM(M32:M40)</f>
        <v>0</v>
      </c>
      <c r="N41" s="99" cm="1">
        <f t="array" ref="N41">SUM(N32:N40)</f>
        <v>0</v>
      </c>
      <c r="O41" s="99" cm="1">
        <f t="array" ref="O41">SUM(O32:O40)</f>
        <v>0</v>
      </c>
      <c r="P41" s="99" cm="1">
        <f t="array" ref="P41">SUM(P32:P40)</f>
        <v>0</v>
      </c>
      <c r="Q41" s="99" cm="1">
        <f t="array" ref="Q41">SUM(Q32:Q40)</f>
        <v>0</v>
      </c>
      <c r="R41" s="99" cm="1">
        <f t="array" ref="R41">SUM(R32:R40)</f>
        <v>0</v>
      </c>
      <c r="S41" s="99" cm="1">
        <f t="array" ref="S41">SUM(S32:S40)</f>
        <v>0</v>
      </c>
      <c r="T41" s="99" cm="1">
        <f t="array" ref="T41">SUM(T32:T40)</f>
        <v>0</v>
      </c>
      <c r="U41" s="99" cm="1">
        <f t="array" ref="U41">SUM(U32:U40)</f>
        <v>0</v>
      </c>
      <c r="V41" s="99" cm="1">
        <f t="array" ref="V41">SUM(V32:V40)</f>
        <v>0</v>
      </c>
      <c r="W41" s="99" cm="1">
        <f t="array" ref="W41">SUM(W32:W40)</f>
        <v>0</v>
      </c>
      <c r="X41" s="99" cm="1">
        <f t="array" ref="X41">SUM(X32:X40)</f>
        <v>0</v>
      </c>
      <c r="Y41" s="99" cm="1">
        <f t="array" ref="Y41">SUM(Y32:Y40)</f>
        <v>0</v>
      </c>
      <c r="Z41" s="99" cm="1">
        <f t="array" ref="Z41">SUM(Z32:Z40)</f>
        <v>0</v>
      </c>
      <c r="AA41" s="99" cm="1">
        <f t="array" ref="AA41">SUM(AA32:AA40)</f>
        <v>0</v>
      </c>
      <c r="AB41" s="99" cm="1">
        <f t="array" ref="AB41">SUM(AB32:AB40)</f>
        <v>0</v>
      </c>
      <c r="AC41" s="99" cm="1">
        <f t="array" ref="AC41">SUM(AC32:AC40)</f>
        <v>0</v>
      </c>
      <c r="AD41" s="99" cm="1">
        <f t="array" ref="AD41">SUM(AD32:AD40)</f>
        <v>0</v>
      </c>
      <c r="AE41" s="99" cm="1">
        <f t="array" ref="AE41">SUM(AE32:AE40)</f>
        <v>0</v>
      </c>
      <c r="AF41" s="99" cm="1">
        <f t="array" ref="AF41">SUM(AF32:AF40)</f>
        <v>0</v>
      </c>
      <c r="AG41" s="99" cm="1">
        <f t="array" ref="AG41">SUM(AG32:AG40)</f>
        <v>0</v>
      </c>
      <c r="AH41" s="99" cm="1">
        <f t="array" ref="AH41">SUM(AH32:AH40)</f>
        <v>0</v>
      </c>
      <c r="AI41" s="99" cm="1">
        <f t="array" ref="AI41">SUM(AI32:AI40)</f>
        <v>0</v>
      </c>
      <c r="AJ41" s="99" cm="1">
        <f t="array" ref="AJ41">SUM(AJ32:AJ40)</f>
        <v>0</v>
      </c>
      <c r="AK41" s="99" cm="1">
        <f t="array" ref="AK41">SUM(AK32:AK40)</f>
        <v>0</v>
      </c>
      <c r="AL41" s="99" cm="1">
        <f t="array" ref="AL41">SUM(AL32:AL40)</f>
        <v>0</v>
      </c>
      <c r="AM41" s="99" cm="1">
        <f t="array" ref="AM41">SUM(AM32:AM40)</f>
        <v>0</v>
      </c>
      <c r="AN41" s="99" cm="1">
        <f t="array" ref="AN41">SUM(AN32:AN40)</f>
        <v>0</v>
      </c>
      <c r="AO41" s="99" cm="1">
        <f t="array" ref="AO41">SUM(AO32:AO40)</f>
        <v>0</v>
      </c>
      <c r="AP41" s="99" cm="1">
        <f t="array" ref="AP41">SUM(AP32:AP40)</f>
        <v>0</v>
      </c>
      <c r="AQ41" s="99" cm="1">
        <f t="array" ref="AQ41">SUM(AQ32:AQ40)</f>
        <v>0</v>
      </c>
      <c r="AR41" s="99" cm="1">
        <f t="array" ref="AR41">SUM(AR32:AR40)</f>
        <v>0</v>
      </c>
      <c r="AS41" s="13"/>
      <c r="AT41" s="13"/>
      <c r="AU41" s="14"/>
      <c r="AV41" s="52"/>
      <c r="AW41" t="s" s="53">
        <v>93</v>
      </c>
      <c r="AX41" t="s" s="100">
        <v>86</v>
      </c>
      <c r="AY41" s="12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</row>
    <row r="42" ht="45" customHeight="1">
      <c r="A42" s="101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4"/>
      <c r="AV42" s="48"/>
      <c r="AW42" t="s" s="49">
        <v>94</v>
      </c>
      <c r="AX42" t="s" s="102">
        <v>95</v>
      </c>
      <c r="AY42" s="12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</row>
  </sheetData>
  <mergeCells count="1">
    <mergeCell ref="AY18:BA18"/>
  </mergeCells>
  <pageMargins left="0.19685" right="0.19685" top="0.984252" bottom="0.19685" header="0.314961" footer="0.31496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